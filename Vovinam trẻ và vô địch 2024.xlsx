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Thuy Ngan\Desktop\Giải trẻ và vô địch 2024\"/>
    </mc:Choice>
  </mc:AlternateContent>
  <xr:revisionPtr revIDLastSave="0" documentId="13_ncr:1_{CBC77BD3-B1E2-4871-A8ED-34BCF627E50E}" xr6:coauthVersionLast="36" xr6:coauthVersionMax="36" xr10:uidLastSave="{00000000-0000-0000-0000-000000000000}"/>
  <bookViews>
    <workbookView xWindow="0" yWindow="0" windowWidth="20633" windowHeight="7641" activeTab="5" xr2:uid="{00000000-000D-0000-FFFF-FFFF00000000}"/>
  </bookViews>
  <sheets>
    <sheet name="Lịch thi đấu N1" sheetId="1" r:id="rId1"/>
    <sheet name="Lịch thi đấu N2" sheetId="2" r:id="rId2"/>
    <sheet name="Lịch thi đấu VĐ" sheetId="3" r:id="rId3"/>
    <sheet name="Quyền trẻ" sheetId="4" r:id="rId4"/>
    <sheet name="Quyền vô địch" sheetId="5" r:id="rId5"/>
    <sheet name="Xếp hạng" sheetId="6" r:id="rId6"/>
  </sheets>
  <definedNames>
    <definedName name="_xlnm._FilterDatabase" localSheetId="4" hidden="1">'Quyền vô địch'!$A$17:$K$34</definedName>
  </definedNames>
  <calcPr calcId="179021"/>
</workbook>
</file>

<file path=xl/calcChain.xml><?xml version="1.0" encoding="utf-8"?>
<calcChain xmlns="http://schemas.openxmlformats.org/spreadsheetml/2006/main">
  <c r="F227" i="5" l="1"/>
  <c r="G227" i="5"/>
  <c r="H227" i="5"/>
  <c r="I227" i="5"/>
  <c r="J227" i="5"/>
  <c r="K227" i="5"/>
  <c r="F229" i="5"/>
  <c r="G229" i="5"/>
  <c r="H229" i="5"/>
  <c r="I229" i="5"/>
  <c r="J229" i="5"/>
  <c r="K229" i="5"/>
  <c r="F231" i="5"/>
  <c r="G231" i="5"/>
  <c r="H231" i="5"/>
  <c r="I231" i="5"/>
  <c r="J231" i="5"/>
  <c r="K231" i="5"/>
  <c r="F233" i="5"/>
  <c r="G233" i="5"/>
  <c r="H233" i="5"/>
  <c r="I233" i="5"/>
  <c r="J233" i="5"/>
  <c r="K233" i="5"/>
  <c r="K235" i="5" s="1"/>
  <c r="F235" i="5"/>
  <c r="G235" i="5"/>
  <c r="H235" i="5"/>
  <c r="I235" i="5"/>
  <c r="J235" i="5"/>
  <c r="F237" i="5"/>
  <c r="G237" i="5"/>
  <c r="H237" i="5"/>
  <c r="I237" i="5"/>
  <c r="J237" i="5"/>
  <c r="F239" i="5"/>
  <c r="G239" i="5"/>
  <c r="H239" i="5"/>
  <c r="I239" i="5"/>
  <c r="J239" i="5"/>
  <c r="F241" i="5"/>
  <c r="G241" i="5"/>
  <c r="H241" i="5"/>
  <c r="I241" i="5"/>
  <c r="J241" i="5"/>
  <c r="E229" i="5"/>
  <c r="E231" i="5"/>
  <c r="E233" i="5"/>
  <c r="E235" i="5"/>
  <c r="E237" i="5"/>
  <c r="E239" i="5"/>
  <c r="E241" i="5"/>
  <c r="A229" i="5"/>
  <c r="A231" i="5"/>
  <c r="A233" i="5"/>
  <c r="A235" i="5"/>
  <c r="A237" i="5"/>
  <c r="A239" i="5"/>
  <c r="A241" i="5"/>
  <c r="A243" i="5"/>
  <c r="F193" i="5"/>
  <c r="G193" i="5"/>
  <c r="H193" i="5"/>
  <c r="I193" i="5"/>
  <c r="J193" i="5"/>
  <c r="K193" i="5"/>
  <c r="F194" i="5"/>
  <c r="F195" i="5" s="1"/>
  <c r="G194" i="5"/>
  <c r="G195" i="5" s="1"/>
  <c r="H194" i="5"/>
  <c r="H195" i="5" s="1"/>
  <c r="I194" i="5"/>
  <c r="I195" i="5" s="1"/>
  <c r="J194" i="5"/>
  <c r="J195" i="5" s="1"/>
  <c r="K194" i="5"/>
  <c r="K195" i="5" s="1"/>
  <c r="F197" i="5"/>
  <c r="F198" i="5" s="1"/>
  <c r="F199" i="5" s="1"/>
  <c r="G197" i="5"/>
  <c r="G198" i="5" s="1"/>
  <c r="G199" i="5" s="1"/>
  <c r="H197" i="5"/>
  <c r="H198" i="5" s="1"/>
  <c r="H199" i="5" s="1"/>
  <c r="I197" i="5"/>
  <c r="I198" i="5" s="1"/>
  <c r="I199" i="5" s="1"/>
  <c r="J197" i="5"/>
  <c r="J198" i="5" s="1"/>
  <c r="J199" i="5" s="1"/>
  <c r="K197" i="5"/>
  <c r="K198" i="5" s="1"/>
  <c r="K199" i="5" s="1"/>
  <c r="F201" i="5"/>
  <c r="F202" i="5" s="1"/>
  <c r="F203" i="5" s="1"/>
  <c r="G201" i="5"/>
  <c r="G202" i="5" s="1"/>
  <c r="G203" i="5" s="1"/>
  <c r="H201" i="5"/>
  <c r="H202" i="5" s="1"/>
  <c r="H203" i="5" s="1"/>
  <c r="I201" i="5"/>
  <c r="I202" i="5" s="1"/>
  <c r="I203" i="5" s="1"/>
  <c r="J201" i="5"/>
  <c r="J202" i="5" s="1"/>
  <c r="J203" i="5" s="1"/>
  <c r="K201" i="5"/>
  <c r="K202" i="5" s="1"/>
  <c r="K203" i="5" s="1"/>
  <c r="F205" i="5"/>
  <c r="F206" i="5" s="1"/>
  <c r="F207" i="5" s="1"/>
  <c r="G205" i="5"/>
  <c r="G206" i="5" s="1"/>
  <c r="G207" i="5" s="1"/>
  <c r="H205" i="5"/>
  <c r="H206" i="5" s="1"/>
  <c r="H207" i="5" s="1"/>
  <c r="I205" i="5"/>
  <c r="I206" i="5" s="1"/>
  <c r="I207" i="5" s="1"/>
  <c r="J205" i="5"/>
  <c r="J206" i="5" s="1"/>
  <c r="J207" i="5" s="1"/>
  <c r="K205" i="5"/>
  <c r="K206" i="5" s="1"/>
  <c r="K207" i="5" s="1"/>
  <c r="F209" i="5"/>
  <c r="G209" i="5"/>
  <c r="H209" i="5"/>
  <c r="I209" i="5"/>
  <c r="J209" i="5"/>
  <c r="F210" i="5"/>
  <c r="F211" i="5" s="1"/>
  <c r="G210" i="5"/>
  <c r="G211" i="5" s="1"/>
  <c r="H210" i="5"/>
  <c r="H211" i="5" s="1"/>
  <c r="I210" i="5"/>
  <c r="I211" i="5" s="1"/>
  <c r="J210" i="5"/>
  <c r="J211" i="5" s="1"/>
  <c r="F213" i="5"/>
  <c r="F214" i="5" s="1"/>
  <c r="F215" i="5" s="1"/>
  <c r="G213" i="5"/>
  <c r="G214" i="5" s="1"/>
  <c r="G215" i="5" s="1"/>
  <c r="H213" i="5"/>
  <c r="H214" i="5" s="1"/>
  <c r="H215" i="5" s="1"/>
  <c r="I213" i="5"/>
  <c r="I214" i="5" s="1"/>
  <c r="I215" i="5" s="1"/>
  <c r="J213" i="5"/>
  <c r="J214" i="5"/>
  <c r="J215" i="5" s="1"/>
  <c r="F217" i="5"/>
  <c r="G217" i="5"/>
  <c r="H217" i="5"/>
  <c r="I217" i="5"/>
  <c r="I218" i="5" s="1"/>
  <c r="I219" i="5" s="1"/>
  <c r="J217" i="5"/>
  <c r="J218" i="5" s="1"/>
  <c r="J219" i="5" s="1"/>
  <c r="F218" i="5"/>
  <c r="F219" i="5" s="1"/>
  <c r="G218" i="5"/>
  <c r="G219" i="5" s="1"/>
  <c r="H218" i="5"/>
  <c r="H219" i="5" s="1"/>
  <c r="E197" i="5"/>
  <c r="E198" i="5" s="1"/>
  <c r="E199" i="5" s="1"/>
  <c r="E201" i="5"/>
  <c r="E202" i="5"/>
  <c r="E203" i="5"/>
  <c r="E205" i="5"/>
  <c r="E206" i="5"/>
  <c r="E207" i="5"/>
  <c r="E209" i="5"/>
  <c r="E210" i="5"/>
  <c r="E211" i="5"/>
  <c r="E213" i="5"/>
  <c r="E214" i="5" s="1"/>
  <c r="E215" i="5" s="1"/>
  <c r="E217" i="5"/>
  <c r="E218" i="5"/>
  <c r="E219" i="5"/>
  <c r="A197" i="5"/>
  <c r="A198" i="5" s="1"/>
  <c r="A199" i="5" s="1"/>
  <c r="A201" i="5"/>
  <c r="A202" i="5"/>
  <c r="A203" i="5"/>
  <c r="A205" i="5"/>
  <c r="A206" i="5"/>
  <c r="A207" i="5"/>
  <c r="A209" i="5"/>
  <c r="A210" i="5"/>
  <c r="A211" i="5"/>
  <c r="A213" i="5"/>
  <c r="A214" i="5" s="1"/>
  <c r="A215" i="5" s="1"/>
  <c r="A217" i="5"/>
  <c r="A218" i="5"/>
  <c r="A219" i="5"/>
  <c r="F171" i="5"/>
  <c r="G171" i="5"/>
  <c r="H171" i="5"/>
  <c r="I171" i="5"/>
  <c r="J171" i="5"/>
  <c r="K171" i="5"/>
  <c r="F173" i="5"/>
  <c r="G173" i="5"/>
  <c r="H173" i="5"/>
  <c r="I173" i="5"/>
  <c r="J173" i="5"/>
  <c r="K173" i="5"/>
  <c r="F175" i="5"/>
  <c r="G175" i="5"/>
  <c r="H175" i="5"/>
  <c r="I175" i="5"/>
  <c r="J175" i="5"/>
  <c r="K175" i="5"/>
  <c r="F177" i="5"/>
  <c r="G177" i="5"/>
  <c r="H177" i="5"/>
  <c r="I177" i="5"/>
  <c r="J177" i="5"/>
  <c r="K177" i="5"/>
  <c r="F179" i="5"/>
  <c r="G179" i="5"/>
  <c r="H179" i="5"/>
  <c r="I179" i="5"/>
  <c r="J179" i="5"/>
  <c r="F181" i="5"/>
  <c r="G181" i="5"/>
  <c r="H181" i="5"/>
  <c r="I181" i="5"/>
  <c r="J181" i="5"/>
  <c r="F183" i="5"/>
  <c r="G183" i="5"/>
  <c r="H183" i="5"/>
  <c r="I183" i="5"/>
  <c r="J183" i="5"/>
  <c r="F185" i="5"/>
  <c r="G185" i="5"/>
  <c r="H185" i="5"/>
  <c r="I185" i="5"/>
  <c r="J185" i="5"/>
  <c r="E173" i="5"/>
  <c r="E175" i="5"/>
  <c r="E177" i="5"/>
  <c r="E179" i="5"/>
  <c r="E181" i="5"/>
  <c r="E183" i="5"/>
  <c r="E185" i="5"/>
  <c r="A173" i="5"/>
  <c r="A175" i="5"/>
  <c r="A177" i="5"/>
  <c r="A179" i="5"/>
  <c r="A181" i="5"/>
  <c r="A183" i="5"/>
  <c r="A185" i="5"/>
  <c r="F140" i="5"/>
  <c r="F141" i="5" s="1"/>
  <c r="G140" i="5"/>
  <c r="H140" i="5"/>
  <c r="I140" i="5"/>
  <c r="J140" i="5"/>
  <c r="K140" i="5"/>
  <c r="G141" i="5"/>
  <c r="H141" i="5"/>
  <c r="I141" i="5"/>
  <c r="J141" i="5"/>
  <c r="K141" i="5"/>
  <c r="F143" i="5"/>
  <c r="F144" i="5" s="1"/>
  <c r="G143" i="5"/>
  <c r="H143" i="5"/>
  <c r="I143" i="5"/>
  <c r="J143" i="5"/>
  <c r="K143" i="5"/>
  <c r="G144" i="5"/>
  <c r="H144" i="5"/>
  <c r="I144" i="5"/>
  <c r="J144" i="5"/>
  <c r="K144" i="5"/>
  <c r="F146" i="5"/>
  <c r="F147" i="5" s="1"/>
  <c r="G146" i="5"/>
  <c r="H146" i="5"/>
  <c r="I146" i="5"/>
  <c r="J146" i="5"/>
  <c r="K146" i="5"/>
  <c r="G147" i="5"/>
  <c r="H147" i="5"/>
  <c r="I147" i="5"/>
  <c r="J147" i="5"/>
  <c r="K147" i="5"/>
  <c r="F149" i="5"/>
  <c r="F150" i="5" s="1"/>
  <c r="G149" i="5"/>
  <c r="H149" i="5"/>
  <c r="I149" i="5"/>
  <c r="J149" i="5"/>
  <c r="K149" i="5"/>
  <c r="G150" i="5"/>
  <c r="H150" i="5"/>
  <c r="I150" i="5"/>
  <c r="J150" i="5"/>
  <c r="K150" i="5"/>
  <c r="F152" i="5"/>
  <c r="F153" i="5" s="1"/>
  <c r="G152" i="5"/>
  <c r="H152" i="5"/>
  <c r="I152" i="5"/>
  <c r="J152" i="5"/>
  <c r="G153" i="5"/>
  <c r="H153" i="5"/>
  <c r="I153" i="5"/>
  <c r="J153" i="5"/>
  <c r="F155" i="5"/>
  <c r="F156" i="5" s="1"/>
  <c r="G155" i="5"/>
  <c r="G156" i="5" s="1"/>
  <c r="H155" i="5"/>
  <c r="H156" i="5" s="1"/>
  <c r="I155" i="5"/>
  <c r="J155" i="5"/>
  <c r="J156" i="5" s="1"/>
  <c r="I156" i="5"/>
  <c r="F158" i="5"/>
  <c r="G158" i="5"/>
  <c r="G159" i="5" s="1"/>
  <c r="H158" i="5"/>
  <c r="H159" i="5" s="1"/>
  <c r="I158" i="5"/>
  <c r="I159" i="5" s="1"/>
  <c r="J158" i="5"/>
  <c r="J159" i="5" s="1"/>
  <c r="F159" i="5"/>
  <c r="F161" i="5"/>
  <c r="G161" i="5"/>
  <c r="H161" i="5"/>
  <c r="H162" i="5" s="1"/>
  <c r="I161" i="5"/>
  <c r="I162" i="5" s="1"/>
  <c r="J161" i="5"/>
  <c r="J162" i="5" s="1"/>
  <c r="F162" i="5"/>
  <c r="G162" i="5"/>
  <c r="E143" i="5"/>
  <c r="E144" i="5" s="1"/>
  <c r="E146" i="5"/>
  <c r="E147" i="5"/>
  <c r="E149" i="5"/>
  <c r="E150" i="5"/>
  <c r="E152" i="5"/>
  <c r="E153" i="5"/>
  <c r="E155" i="5"/>
  <c r="E156" i="5"/>
  <c r="E158" i="5"/>
  <c r="E159" i="5"/>
  <c r="E161" i="5"/>
  <c r="E162" i="5" s="1"/>
  <c r="A143" i="5"/>
  <c r="A144" i="5" s="1"/>
  <c r="A146" i="5"/>
  <c r="A147" i="5"/>
  <c r="A149" i="5"/>
  <c r="A150" i="5"/>
  <c r="A152" i="5"/>
  <c r="A153" i="5"/>
  <c r="A155" i="5"/>
  <c r="A156" i="5"/>
  <c r="A158" i="5"/>
  <c r="A159" i="5"/>
  <c r="A161" i="5"/>
  <c r="A162" i="5" s="1"/>
  <c r="F97" i="5"/>
  <c r="F98" i="5" s="1"/>
  <c r="F99" i="5" s="1"/>
  <c r="G97" i="5"/>
  <c r="G98" i="5" s="1"/>
  <c r="G99" i="5" s="1"/>
  <c r="H97" i="5"/>
  <c r="H98" i="5" s="1"/>
  <c r="H99" i="5" s="1"/>
  <c r="I97" i="5"/>
  <c r="J97" i="5"/>
  <c r="K97" i="5"/>
  <c r="I98" i="5"/>
  <c r="I99" i="5" s="1"/>
  <c r="J98" i="5"/>
  <c r="J99" i="5" s="1"/>
  <c r="K98" i="5"/>
  <c r="K99" i="5" s="1"/>
  <c r="F101" i="5"/>
  <c r="F102" i="5" s="1"/>
  <c r="F103" i="5" s="1"/>
  <c r="G101" i="5"/>
  <c r="G102" i="5" s="1"/>
  <c r="G103" i="5" s="1"/>
  <c r="H101" i="5"/>
  <c r="H102" i="5" s="1"/>
  <c r="H103" i="5" s="1"/>
  <c r="I101" i="5"/>
  <c r="I102" i="5" s="1"/>
  <c r="I103" i="5" s="1"/>
  <c r="J101" i="5"/>
  <c r="J102" i="5" s="1"/>
  <c r="J103" i="5" s="1"/>
  <c r="K101" i="5"/>
  <c r="K102" i="5" s="1"/>
  <c r="K103" i="5" s="1"/>
  <c r="F105" i="5"/>
  <c r="G105" i="5"/>
  <c r="H105" i="5"/>
  <c r="I105" i="5"/>
  <c r="I106" i="5" s="1"/>
  <c r="I107" i="5" s="1"/>
  <c r="J105" i="5"/>
  <c r="J106" i="5" s="1"/>
  <c r="J107" i="5" s="1"/>
  <c r="K105" i="5"/>
  <c r="K106" i="5" s="1"/>
  <c r="K107" i="5" s="1"/>
  <c r="F106" i="5"/>
  <c r="F107" i="5" s="1"/>
  <c r="G106" i="5"/>
  <c r="G107" i="5" s="1"/>
  <c r="H106" i="5"/>
  <c r="H107" i="5" s="1"/>
  <c r="F109" i="5"/>
  <c r="F110" i="5" s="1"/>
  <c r="F111" i="5" s="1"/>
  <c r="G109" i="5"/>
  <c r="G110" i="5" s="1"/>
  <c r="G111" i="5" s="1"/>
  <c r="H109" i="5"/>
  <c r="H110" i="5" s="1"/>
  <c r="H111" i="5" s="1"/>
  <c r="I109" i="5"/>
  <c r="I110" i="5" s="1"/>
  <c r="I111" i="5" s="1"/>
  <c r="J109" i="5"/>
  <c r="J110" i="5" s="1"/>
  <c r="J111" i="5" s="1"/>
  <c r="K109" i="5"/>
  <c r="K110" i="5" s="1"/>
  <c r="K111" i="5" s="1"/>
  <c r="K113" i="5" s="1"/>
  <c r="K114" i="5" s="1"/>
  <c r="K115" i="5" s="1"/>
  <c r="J112" i="5"/>
  <c r="F113" i="5"/>
  <c r="F114" i="5" s="1"/>
  <c r="F115" i="5" s="1"/>
  <c r="G113" i="5"/>
  <c r="G114" i="5" s="1"/>
  <c r="G115" i="5" s="1"/>
  <c r="H113" i="5"/>
  <c r="I113" i="5"/>
  <c r="J113" i="5"/>
  <c r="J114" i="5" s="1"/>
  <c r="J115" i="5" s="1"/>
  <c r="H114" i="5"/>
  <c r="H115" i="5" s="1"/>
  <c r="I114" i="5"/>
  <c r="I115" i="5" s="1"/>
  <c r="E101" i="5"/>
  <c r="E102" i="5"/>
  <c r="E103" i="5"/>
  <c r="E105" i="5"/>
  <c r="E106" i="5"/>
  <c r="E107" i="5"/>
  <c r="E109" i="5"/>
  <c r="E110" i="5"/>
  <c r="E111" i="5"/>
  <c r="E113" i="5"/>
  <c r="E114" i="5"/>
  <c r="E115" i="5"/>
  <c r="A101" i="5"/>
  <c r="A102" i="5"/>
  <c r="A103" i="5" s="1"/>
  <c r="A105" i="5"/>
  <c r="A106" i="5"/>
  <c r="A107" i="5"/>
  <c r="A109" i="5"/>
  <c r="A110" i="5"/>
  <c r="A111" i="5"/>
  <c r="A113" i="5"/>
  <c r="A114" i="5"/>
  <c r="A115" i="5"/>
  <c r="E79" i="5"/>
  <c r="E80" i="5" s="1"/>
  <c r="E81" i="5" s="1"/>
  <c r="F79" i="5"/>
  <c r="F80" i="5" s="1"/>
  <c r="F81" i="5" s="1"/>
  <c r="G79" i="5"/>
  <c r="H79" i="5"/>
  <c r="I79" i="5"/>
  <c r="J79" i="5"/>
  <c r="G80" i="5"/>
  <c r="G81" i="5" s="1"/>
  <c r="H80" i="5"/>
  <c r="H81" i="5" s="1"/>
  <c r="I80" i="5"/>
  <c r="I81" i="5" s="1"/>
  <c r="J80" i="5"/>
  <c r="J81" i="5" s="1"/>
  <c r="E83" i="5"/>
  <c r="E84" i="5" s="1"/>
  <c r="E85" i="5" s="1"/>
  <c r="F83" i="5"/>
  <c r="F84" i="5" s="1"/>
  <c r="F85" i="5" s="1"/>
  <c r="G83" i="5"/>
  <c r="G84" i="5" s="1"/>
  <c r="G85" i="5" s="1"/>
  <c r="H83" i="5"/>
  <c r="H84" i="5" s="1"/>
  <c r="H85" i="5" s="1"/>
  <c r="I83" i="5"/>
  <c r="I84" i="5" s="1"/>
  <c r="I85" i="5" s="1"/>
  <c r="J83" i="5"/>
  <c r="J84" i="5" s="1"/>
  <c r="J85" i="5" s="1"/>
  <c r="E87" i="5"/>
  <c r="F87" i="5"/>
  <c r="G87" i="5"/>
  <c r="G88" i="5" s="1"/>
  <c r="G89" i="5" s="1"/>
  <c r="H87" i="5"/>
  <c r="H88" i="5" s="1"/>
  <c r="H89" i="5" s="1"/>
  <c r="I87" i="5"/>
  <c r="I88" i="5" s="1"/>
  <c r="I89" i="5" s="1"/>
  <c r="J87" i="5"/>
  <c r="J88" i="5" s="1"/>
  <c r="J89" i="5" s="1"/>
  <c r="E88" i="5"/>
  <c r="E89" i="5" s="1"/>
  <c r="F88" i="5"/>
  <c r="F89" i="5" s="1"/>
  <c r="F67" i="5"/>
  <c r="F68" i="5" s="1"/>
  <c r="F69" i="5" s="1"/>
  <c r="G67" i="5"/>
  <c r="G68" i="5" s="1"/>
  <c r="G69" i="5" s="1"/>
  <c r="H67" i="5"/>
  <c r="H68" i="5" s="1"/>
  <c r="H69" i="5" s="1"/>
  <c r="I67" i="5"/>
  <c r="J67" i="5"/>
  <c r="K67" i="5"/>
  <c r="I68" i="5"/>
  <c r="I69" i="5" s="1"/>
  <c r="J68" i="5"/>
  <c r="J69" i="5" s="1"/>
  <c r="K68" i="5"/>
  <c r="K69" i="5" s="1"/>
  <c r="F71" i="5"/>
  <c r="G71" i="5"/>
  <c r="H71" i="5"/>
  <c r="I71" i="5"/>
  <c r="I72" i="5" s="1"/>
  <c r="I73" i="5" s="1"/>
  <c r="J71" i="5"/>
  <c r="J72" i="5" s="1"/>
  <c r="J73" i="5" s="1"/>
  <c r="K71" i="5"/>
  <c r="K72" i="5" s="1"/>
  <c r="K73" i="5" s="1"/>
  <c r="F72" i="5"/>
  <c r="F73" i="5" s="1"/>
  <c r="G72" i="5"/>
  <c r="G73" i="5" s="1"/>
  <c r="H72" i="5"/>
  <c r="H73" i="5" s="1"/>
  <c r="F75" i="5"/>
  <c r="F76" i="5" s="1"/>
  <c r="F77" i="5" s="1"/>
  <c r="G75" i="5"/>
  <c r="G76" i="5" s="1"/>
  <c r="G77" i="5" s="1"/>
  <c r="H75" i="5"/>
  <c r="H76" i="5" s="1"/>
  <c r="H77" i="5" s="1"/>
  <c r="I75" i="5"/>
  <c r="J75" i="5"/>
  <c r="K75" i="5"/>
  <c r="I76" i="5"/>
  <c r="I77" i="5" s="1"/>
  <c r="J76" i="5"/>
  <c r="J77" i="5" s="1"/>
  <c r="K76" i="5"/>
  <c r="K77" i="5" s="1"/>
  <c r="F63" i="5"/>
  <c r="F64" i="5" s="1"/>
  <c r="F65" i="5" s="1"/>
  <c r="G63" i="5"/>
  <c r="G64" i="5" s="1"/>
  <c r="G65" i="5" s="1"/>
  <c r="H63" i="5"/>
  <c r="I63" i="5"/>
  <c r="J63" i="5"/>
  <c r="K63" i="5"/>
  <c r="H64" i="5"/>
  <c r="H65" i="5" s="1"/>
  <c r="I64" i="5"/>
  <c r="I65" i="5" s="1"/>
  <c r="J64" i="5"/>
  <c r="J65" i="5" s="1"/>
  <c r="K64" i="5"/>
  <c r="K65" i="5" s="1"/>
  <c r="A67" i="5"/>
  <c r="A68" i="5" s="1"/>
  <c r="A69" i="5" s="1"/>
  <c r="A71" i="5"/>
  <c r="A72" i="5"/>
  <c r="A73" i="5"/>
  <c r="A75" i="5"/>
  <c r="A76" i="5"/>
  <c r="A77" i="5"/>
  <c r="A79" i="5"/>
  <c r="A80" i="5"/>
  <c r="A81" i="5"/>
  <c r="A83" i="5"/>
  <c r="A84" i="5" s="1"/>
  <c r="A85" i="5" s="1"/>
  <c r="A87" i="5"/>
  <c r="A88" i="5"/>
  <c r="A89" i="5"/>
  <c r="E45" i="5"/>
  <c r="E46" i="5" s="1"/>
  <c r="F45" i="5"/>
  <c r="F46" i="5" s="1"/>
  <c r="G45" i="5"/>
  <c r="G46" i="5" s="1"/>
  <c r="H45" i="5"/>
  <c r="I45" i="5"/>
  <c r="J45" i="5"/>
  <c r="J46" i="5" s="1"/>
  <c r="K45" i="5"/>
  <c r="K46" i="5" s="1"/>
  <c r="H46" i="5"/>
  <c r="I46" i="5"/>
  <c r="E48" i="5"/>
  <c r="E49" i="5" s="1"/>
  <c r="F48" i="5"/>
  <c r="F49" i="5" s="1"/>
  <c r="G48" i="5"/>
  <c r="G49" i="5" s="1"/>
  <c r="H48" i="5"/>
  <c r="H49" i="5" s="1"/>
  <c r="I48" i="5"/>
  <c r="I49" i="5" s="1"/>
  <c r="J48" i="5"/>
  <c r="J49" i="5" s="1"/>
  <c r="K48" i="5"/>
  <c r="K49" i="5" s="1"/>
  <c r="E51" i="5"/>
  <c r="E52" i="5" s="1"/>
  <c r="F51" i="5"/>
  <c r="F52" i="5" s="1"/>
  <c r="G51" i="5"/>
  <c r="G52" i="5" s="1"/>
  <c r="H51" i="5"/>
  <c r="H52" i="5" s="1"/>
  <c r="I51" i="5"/>
  <c r="I52" i="5" s="1"/>
  <c r="J51" i="5"/>
  <c r="J52" i="5" s="1"/>
  <c r="K51" i="5"/>
  <c r="K52" i="5" s="1"/>
  <c r="K54" i="5" s="1"/>
  <c r="K55" i="5" s="1"/>
  <c r="J53" i="5"/>
  <c r="J54" i="5" s="1"/>
  <c r="J55" i="5" s="1"/>
  <c r="E54" i="5"/>
  <c r="E55" i="5" s="1"/>
  <c r="F54" i="5"/>
  <c r="F55" i="5" s="1"/>
  <c r="G54" i="5"/>
  <c r="G55" i="5" s="1"/>
  <c r="H54" i="5"/>
  <c r="H55" i="5" s="1"/>
  <c r="I54" i="5"/>
  <c r="I55" i="5" s="1"/>
  <c r="F42" i="5"/>
  <c r="F43" i="5" s="1"/>
  <c r="G42" i="5"/>
  <c r="G43" i="5" s="1"/>
  <c r="H42" i="5"/>
  <c r="H43" i="5" s="1"/>
  <c r="I42" i="5"/>
  <c r="J42" i="5"/>
  <c r="K42" i="5"/>
  <c r="K43" i="5" s="1"/>
  <c r="I43" i="5"/>
  <c r="J43" i="5"/>
  <c r="A45" i="5"/>
  <c r="A46" i="5"/>
  <c r="A48" i="5"/>
  <c r="A49" i="5" s="1"/>
  <c r="A51" i="5"/>
  <c r="A52" i="5"/>
  <c r="A54" i="5"/>
  <c r="A55" i="5"/>
  <c r="A24" i="5"/>
  <c r="A26" i="5"/>
  <c r="A28" i="5"/>
  <c r="A30" i="5"/>
  <c r="A32" i="5"/>
  <c r="A34" i="5"/>
  <c r="E24" i="5"/>
  <c r="F24" i="5"/>
  <c r="G24" i="5"/>
  <c r="H24" i="5"/>
  <c r="I24" i="5"/>
  <c r="J24" i="5"/>
  <c r="K24" i="5"/>
  <c r="E26" i="5"/>
  <c r="F26" i="5"/>
  <c r="G26" i="5"/>
  <c r="H26" i="5"/>
  <c r="I26" i="5"/>
  <c r="J26" i="5"/>
  <c r="K26" i="5"/>
  <c r="E28" i="5"/>
  <c r="F28" i="5"/>
  <c r="G28" i="5"/>
  <c r="H28" i="5"/>
  <c r="I28" i="5"/>
  <c r="J28" i="5"/>
  <c r="K28" i="5"/>
  <c r="E30" i="5"/>
  <c r="F30" i="5"/>
  <c r="G30" i="5"/>
  <c r="H30" i="5"/>
  <c r="I30" i="5"/>
  <c r="J30" i="5"/>
  <c r="E32" i="5"/>
  <c r="F32" i="5"/>
  <c r="G32" i="5"/>
  <c r="H32" i="5"/>
  <c r="I32" i="5"/>
  <c r="J32" i="5"/>
  <c r="E34" i="5"/>
  <c r="F34" i="5"/>
  <c r="G34" i="5"/>
  <c r="H34" i="5"/>
  <c r="I34" i="5"/>
  <c r="J34" i="5"/>
  <c r="K22" i="5"/>
  <c r="F22" i="5"/>
  <c r="G22" i="5"/>
  <c r="H22" i="5"/>
  <c r="I22" i="5"/>
  <c r="J22" i="5"/>
  <c r="BN28" i="6" l="1"/>
  <c r="BM28" i="6"/>
  <c r="BL28" i="6"/>
  <c r="BN27" i="6"/>
  <c r="BM27" i="6"/>
  <c r="BL27" i="6"/>
  <c r="BN26" i="6"/>
  <c r="BM26" i="6"/>
  <c r="BL26" i="6"/>
  <c r="BN25" i="6"/>
  <c r="BM25" i="6"/>
  <c r="BL25" i="6"/>
  <c r="BN24" i="6"/>
  <c r="BM24" i="6"/>
  <c r="BL24" i="6"/>
  <c r="BN23" i="6"/>
  <c r="BM23" i="6"/>
  <c r="BL23" i="6"/>
  <c r="BN22" i="6"/>
  <c r="BM22" i="6"/>
  <c r="BL22" i="6"/>
  <c r="BN21" i="6"/>
  <c r="BM21" i="6"/>
  <c r="BL21" i="6"/>
  <c r="BN20" i="6"/>
  <c r="BM20" i="6"/>
  <c r="BL20" i="6"/>
  <c r="BN19" i="6"/>
  <c r="BM19" i="6"/>
  <c r="BL19" i="6"/>
  <c r="BN18" i="6"/>
  <c r="BM18" i="6"/>
  <c r="BL18" i="6"/>
  <c r="BN17" i="6"/>
  <c r="BM17" i="6"/>
  <c r="BL17" i="6"/>
  <c r="BN16" i="6"/>
  <c r="BM16" i="6"/>
  <c r="BL16" i="6"/>
  <c r="BN15" i="6"/>
  <c r="BM15" i="6"/>
  <c r="BL15" i="6"/>
  <c r="BN14" i="6"/>
  <c r="BM14" i="6"/>
  <c r="BL14" i="6"/>
  <c r="BN13" i="6"/>
  <c r="BM13" i="6"/>
  <c r="BL13" i="6"/>
  <c r="BN12" i="6"/>
  <c r="BM12" i="6"/>
  <c r="BL12" i="6"/>
  <c r="BN11" i="6"/>
  <c r="BM11" i="6"/>
  <c r="BL11" i="6"/>
  <c r="BN10" i="6"/>
  <c r="BM10" i="6"/>
  <c r="BL10" i="6"/>
  <c r="BN9" i="6"/>
  <c r="BM9" i="6"/>
  <c r="BL9" i="6"/>
  <c r="BN8" i="6"/>
  <c r="BM8" i="6"/>
  <c r="BL8" i="6"/>
  <c r="BN7" i="6"/>
  <c r="BM7" i="6"/>
  <c r="BL7" i="6"/>
  <c r="BN6" i="6"/>
  <c r="BM6" i="6"/>
  <c r="BL6" i="6"/>
  <c r="J10" i="5"/>
  <c r="J11" i="5"/>
  <c r="J53" i="1"/>
  <c r="I53" i="1"/>
</calcChain>
</file>

<file path=xl/sharedStrings.xml><?xml version="1.0" encoding="utf-8"?>
<sst xmlns="http://schemas.openxmlformats.org/spreadsheetml/2006/main" count="3592" uniqueCount="756">
  <si>
    <t>Lịch thi đấu Nam trẻ nhóm 1
Giải Vovinam trẻ và vô địch tỉnh Bình Thuận 2024</t>
  </si>
  <si>
    <t>TT</t>
  </si>
  <si>
    <t>SÂN</t>
  </si>
  <si>
    <t>HẠNG CÂN</t>
  </si>
  <si>
    <t>VÒNG ĐẤU</t>
  </si>
  <si>
    <t>ĐỎ</t>
  </si>
  <si>
    <t xml:space="preserve"> XANH</t>
  </si>
  <si>
    <t>VĐV THẮNG</t>
  </si>
  <si>
    <t>VĐV</t>
  </si>
  <si>
    <t>ĐƠN VỊ</t>
  </si>
  <si>
    <t>36kg Nam N1</t>
  </si>
  <si>
    <t>Vòng loại</t>
  </si>
  <si>
    <t xml:space="preserve"> Hoàng Duy</t>
  </si>
  <si>
    <t>Cty Ba Mươi Vuông</t>
  </si>
  <si>
    <t xml:space="preserve"> Trung Thiện</t>
  </si>
  <si>
    <t>Cty Hoàng Ngân</t>
  </si>
  <si>
    <t xml:space="preserve"> Trường Thịnh</t>
  </si>
  <si>
    <t>Hàm Tân</t>
  </si>
  <si>
    <t xml:space="preserve"> Phú Trọng</t>
  </si>
  <si>
    <t>Huyện Tuy Phong</t>
  </si>
  <si>
    <t xml:space="preserve"> Văn Lực</t>
  </si>
  <si>
    <t>HTX Thuận Tiến</t>
  </si>
  <si>
    <t xml:space="preserve"> Duy Khôi</t>
  </si>
  <si>
    <t>Cty Quang Minh Phát</t>
  </si>
  <si>
    <t>39kg Nam N1</t>
  </si>
  <si>
    <t xml:space="preserve"> Kim Long</t>
  </si>
  <si>
    <t xml:space="preserve"> Minh Trường</t>
  </si>
  <si>
    <t>Bắc Bình</t>
  </si>
  <si>
    <t>42kg Nam N1</t>
  </si>
  <si>
    <t xml:space="preserve"> Bá Khánh</t>
  </si>
  <si>
    <t>Đức Linh</t>
  </si>
  <si>
    <t xml:space="preserve"> Gia Bảo</t>
  </si>
  <si>
    <t>Trên 50kg Nam N1</t>
  </si>
  <si>
    <t xml:space="preserve"> Đức Thảo</t>
  </si>
  <si>
    <t>HTX Nhất Tâm</t>
  </si>
  <si>
    <t xml:space="preserve"> Anh Khoa</t>
  </si>
  <si>
    <t xml:space="preserve"> Đức Hùng (38,70)</t>
  </si>
  <si>
    <t xml:space="preserve"> Chiến Sang (37,75)</t>
  </si>
  <si>
    <t xml:space="preserve"> Chiến Sang </t>
  </si>
  <si>
    <t xml:space="preserve"> Quốc Đạt</t>
  </si>
  <si>
    <t>Phan Thiết</t>
  </si>
  <si>
    <t xml:space="preserve"> Anh Đạt</t>
  </si>
  <si>
    <t>Cty QC Thành Danh</t>
  </si>
  <si>
    <t xml:space="preserve"> Thanh Tuấn</t>
  </si>
  <si>
    <t>Cty Khắc Long</t>
  </si>
  <si>
    <t xml:space="preserve"> Chí Khang</t>
  </si>
  <si>
    <t xml:space="preserve"> Duy Thành</t>
  </si>
  <si>
    <t xml:space="preserve"> Kim Phát</t>
  </si>
  <si>
    <t>Cty Phượng Hoàng</t>
  </si>
  <si>
    <t xml:space="preserve"> Hữu Thịnh</t>
  </si>
  <si>
    <t xml:space="preserve"> Minh Hùng</t>
  </si>
  <si>
    <t>Cty Lý Thanh</t>
  </si>
  <si>
    <t xml:space="preserve"> Minh Hiếu</t>
  </si>
  <si>
    <t xml:space="preserve"> Minh Quân</t>
  </si>
  <si>
    <t xml:space="preserve"> Thiên Bảo</t>
  </si>
  <si>
    <t xml:space="preserve"> Gia Hòa</t>
  </si>
  <si>
    <t xml:space="preserve"> Duy An</t>
  </si>
  <si>
    <t xml:space="preserve"> Tấn Đạt</t>
  </si>
  <si>
    <t xml:space="preserve"> Hạo Thiên</t>
  </si>
  <si>
    <t>Hàm Thuận Bắc</t>
  </si>
  <si>
    <t xml:space="preserve"> Xuân Đăng</t>
  </si>
  <si>
    <t xml:space="preserve"> Đình Huy</t>
  </si>
  <si>
    <t>Cty Hoàng Giang</t>
  </si>
  <si>
    <t>45kg Nam N1</t>
  </si>
  <si>
    <t xml:space="preserve"> Thành Nhân</t>
  </si>
  <si>
    <t>Trường Lê Lợi</t>
  </si>
  <si>
    <t xml:space="preserve"> Bá Dũng</t>
  </si>
  <si>
    <t>50kg Nam N1</t>
  </si>
  <si>
    <t xml:space="preserve"> Hữu Tính</t>
  </si>
  <si>
    <t xml:space="preserve"> Tuấn Kiệt</t>
  </si>
  <si>
    <t>Thị xã LaGi</t>
  </si>
  <si>
    <t xml:space="preserve"> Minh Khang</t>
  </si>
  <si>
    <t xml:space="preserve"> Hiếu Nghĩa</t>
  </si>
  <si>
    <t xml:space="preserve"> Bình Minh (54,65)</t>
  </si>
  <si>
    <t xml:space="preserve"> Đăng Khoa</t>
  </si>
  <si>
    <t xml:space="preserve"> Gia Yên</t>
  </si>
  <si>
    <t>Cty Logistics</t>
  </si>
  <si>
    <t xml:space="preserve"> An Đông</t>
  </si>
  <si>
    <t>Bán Kết</t>
  </si>
  <si>
    <t xml:space="preserve"> Anh Huy</t>
  </si>
  <si>
    <t xml:space="preserve"> Minh Phương</t>
  </si>
  <si>
    <t xml:space="preserve"> Quốc Kiên</t>
  </si>
  <si>
    <t xml:space="preserve"> Hoàng Thiên</t>
  </si>
  <si>
    <t xml:space="preserve"> Thành Long</t>
  </si>
  <si>
    <t>Chung Kết</t>
  </si>
  <si>
    <t>Lịch thi đấu Nữ trẻ nhóm 1
Giải Vovinam trẻ và vô địch tỉnh Bình Thuận 2024</t>
  </si>
  <si>
    <t>36kg Nữ N1</t>
  </si>
  <si>
    <t xml:space="preserve"> Anh Thư</t>
  </si>
  <si>
    <t>Cty Ngọc Phát</t>
  </si>
  <si>
    <t xml:space="preserve"> Mỹ Phương</t>
  </si>
  <si>
    <t>Cty Bảo Trâm</t>
  </si>
  <si>
    <t xml:space="preserve"> Kim Ngân</t>
  </si>
  <si>
    <t xml:space="preserve"> Thảo Nguyên</t>
  </si>
  <si>
    <t xml:space="preserve"> Ngọc Giàu</t>
  </si>
  <si>
    <t xml:space="preserve"> Ngọc Diễm</t>
  </si>
  <si>
    <t xml:space="preserve"> Ngọc Láng</t>
  </si>
  <si>
    <t xml:space="preserve"> Khởi My</t>
  </si>
  <si>
    <t xml:space="preserve"> Thanh Nguyên</t>
  </si>
  <si>
    <t xml:space="preserve"> Ngọc Nhi</t>
  </si>
  <si>
    <t xml:space="preserve"> Đoan Uyên</t>
  </si>
  <si>
    <t xml:space="preserve"> Thanh Vân</t>
  </si>
  <si>
    <t>Hàm Thuận Nam</t>
  </si>
  <si>
    <t>39kg Nữ N1</t>
  </si>
  <si>
    <t xml:space="preserve"> Thùy Trâm</t>
  </si>
  <si>
    <t xml:space="preserve"> Ngọc Thuyền</t>
  </si>
  <si>
    <t xml:space="preserve"> Như Quỳnh (41,20)</t>
  </si>
  <si>
    <t xml:space="preserve"> Trường Giang (40,25)</t>
  </si>
  <si>
    <t xml:space="preserve"> Trường Giang </t>
  </si>
  <si>
    <t xml:space="preserve"> Việt Hà</t>
  </si>
  <si>
    <t xml:space="preserve"> Bảo Kim</t>
  </si>
  <si>
    <t xml:space="preserve"> Thu Phan</t>
  </si>
  <si>
    <t xml:space="preserve"> Nguyễn SaJa</t>
  </si>
  <si>
    <t>42kg Nữ N1</t>
  </si>
  <si>
    <t xml:space="preserve"> Long Châu</t>
  </si>
  <si>
    <t xml:space="preserve"> Mễ Du</t>
  </si>
  <si>
    <t xml:space="preserve"> Ngọc Điểm</t>
  </si>
  <si>
    <t xml:space="preserve"> Khánh Vy</t>
  </si>
  <si>
    <t xml:space="preserve"> Mẫn Nhi</t>
  </si>
  <si>
    <t xml:space="preserve"> Mỹ Hoa</t>
  </si>
  <si>
    <t xml:space="preserve"> Triệu Vi</t>
  </si>
  <si>
    <t xml:space="preserve"> Yến Như</t>
  </si>
  <si>
    <t xml:space="preserve"> Tường Vy</t>
  </si>
  <si>
    <t xml:space="preserve"> Thị Thương</t>
  </si>
  <si>
    <t>45kg Nữ N1</t>
  </si>
  <si>
    <t xml:space="preserve"> Bích Hoa (43,7)</t>
  </si>
  <si>
    <t xml:space="preserve"> Bảo Châu (45,5)</t>
  </si>
  <si>
    <t xml:space="preserve"> Bích Hoa</t>
  </si>
  <si>
    <t>50kg Nữ N1</t>
  </si>
  <si>
    <t xml:space="preserve"> Thuỷ Tiên</t>
  </si>
  <si>
    <t xml:space="preserve"> Khánh Thi</t>
  </si>
  <si>
    <t>Trên 50kg Nữ N1</t>
  </si>
  <si>
    <t xml:space="preserve"> Khánh An</t>
  </si>
  <si>
    <t xml:space="preserve"> Thanh Thảo</t>
  </si>
  <si>
    <t xml:space="preserve"> Anh Thư (30,95)</t>
  </si>
  <si>
    <t xml:space="preserve"> Thảo Nguyên (38,70)</t>
  </si>
  <si>
    <t xml:space="preserve"> Khôi Nguyên</t>
  </si>
  <si>
    <t xml:space="preserve"> Kim Châu</t>
  </si>
  <si>
    <t xml:space="preserve"> Hoàng Anh</t>
  </si>
  <si>
    <t xml:space="preserve"> Minh Nhật</t>
  </si>
  <si>
    <t xml:space="preserve"> Thái Dung</t>
  </si>
  <si>
    <t xml:space="preserve"> Gia Hân</t>
  </si>
  <si>
    <t xml:space="preserve"> Mỹ Hoa (41,75)</t>
  </si>
  <si>
    <t xml:space="preserve"> Thanh Xuân (44,70)</t>
  </si>
  <si>
    <t xml:space="preserve"> Thanh Thảo (42,55)</t>
  </si>
  <si>
    <t xml:space="preserve"> Anh Thư (42,15)</t>
  </si>
  <si>
    <t xml:space="preserve"> Bích Hoa (43,80)</t>
  </si>
  <si>
    <t xml:space="preserve"> Mỹ Anh (44,75)</t>
  </si>
  <si>
    <t xml:space="preserve"> Kim Hòa</t>
  </si>
  <si>
    <t xml:space="preserve"> Xuân Thùy</t>
  </si>
  <si>
    <t xml:space="preserve"> Ý Nhi</t>
  </si>
  <si>
    <t xml:space="preserve"> Sông Hàn</t>
  </si>
  <si>
    <t xml:space="preserve"> Như Lin</t>
  </si>
  <si>
    <t xml:space="preserve"> Yến Trang</t>
  </si>
  <si>
    <t xml:space="preserve"> Trung Hòa</t>
  </si>
  <si>
    <t xml:space="preserve"> Huỳnh Giao</t>
  </si>
  <si>
    <t xml:space="preserve"> Thanh Tiên</t>
  </si>
  <si>
    <t xml:space="preserve"> Ngọc Hân</t>
  </si>
  <si>
    <t xml:space="preserve"> Huỳnh Anh</t>
  </si>
  <si>
    <t xml:space="preserve"> Phương Thy</t>
  </si>
  <si>
    <t>Phương Thy</t>
  </si>
  <si>
    <t xml:space="preserve"> Thị Tài</t>
  </si>
  <si>
    <t xml:space="preserve"> Yến Vy (49,05)</t>
  </si>
  <si>
    <t xml:space="preserve"> Vy An (47,20)</t>
  </si>
  <si>
    <t xml:space="preserve"> Vy An</t>
  </si>
  <si>
    <t xml:space="preserve"> Thái Vy</t>
  </si>
  <si>
    <t xml:space="preserve"> Hạ Vi</t>
  </si>
  <si>
    <t xml:space="preserve"> Hải Nguyên</t>
  </si>
  <si>
    <t xml:space="preserve"> Ngọc Vy</t>
  </si>
  <si>
    <t>Phú Quý</t>
  </si>
  <si>
    <t xml:space="preserve"> Bích Hoa (44,10)</t>
  </si>
  <si>
    <t xml:space="preserve"> Xuân Thùy (41,70)</t>
  </si>
  <si>
    <t>Lịch thi đấu Nam trẻ nhóm 2
Giải Vovinam trẻ và vô địch tỉnh Bình Thuận 2024</t>
  </si>
  <si>
    <t>45kg Nam N2</t>
  </si>
  <si>
    <t xml:space="preserve"> Duy Tân</t>
  </si>
  <si>
    <t xml:space="preserve"> Trường Thọ</t>
  </si>
  <si>
    <t xml:space="preserve"> Minh Nhựt</t>
  </si>
  <si>
    <t xml:space="preserve"> Gia Khiêm</t>
  </si>
  <si>
    <t>60kg Nam N2</t>
  </si>
  <si>
    <t xml:space="preserve"> Hồng Nhựt</t>
  </si>
  <si>
    <t xml:space="preserve"> Minh Chiến</t>
  </si>
  <si>
    <t xml:space="preserve"> Mạnh Huy</t>
  </si>
  <si>
    <t xml:space="preserve"> Công Toán</t>
  </si>
  <si>
    <t>65kg Nam N2</t>
  </si>
  <si>
    <t xml:space="preserve"> Thái Sam</t>
  </si>
  <si>
    <t xml:space="preserve"> Thanh Sơn</t>
  </si>
  <si>
    <t>39kg Nam N2</t>
  </si>
  <si>
    <t xml:space="preserve"> Vũ Khang (37,95)</t>
  </si>
  <si>
    <t xml:space="preserve"> Quang Minh (35,0)</t>
  </si>
  <si>
    <t xml:space="preserve"> Quang Minh</t>
  </si>
  <si>
    <t xml:space="preserve"> Vĩnh Thuyên (39,45)</t>
  </si>
  <si>
    <t xml:space="preserve"> Tiến Dũng (39,15)</t>
  </si>
  <si>
    <t xml:space="preserve"> Tiến Dũng</t>
  </si>
  <si>
    <t>42kg Nam N2</t>
  </si>
  <si>
    <t xml:space="preserve"> Duy Nghĩa</t>
  </si>
  <si>
    <t xml:space="preserve"> Hải Hoàng</t>
  </si>
  <si>
    <t xml:space="preserve"> Minh Trí</t>
  </si>
  <si>
    <t xml:space="preserve"> Duy Chiêu</t>
  </si>
  <si>
    <t xml:space="preserve"> Văn Tú</t>
  </si>
  <si>
    <t xml:space="preserve"> Hữu khánh</t>
  </si>
  <si>
    <t xml:space="preserve"> Vũ Đạt</t>
  </si>
  <si>
    <t xml:space="preserve"> Quốc Dinh</t>
  </si>
  <si>
    <t xml:space="preserve"> Tuấn Anh</t>
  </si>
  <si>
    <t xml:space="preserve"> Minh Triết</t>
  </si>
  <si>
    <t xml:space="preserve"> Thịnh Phát</t>
  </si>
  <si>
    <t xml:space="preserve"> Quốc Hào</t>
  </si>
  <si>
    <t xml:space="preserve"> Tường Khang</t>
  </si>
  <si>
    <t>48kg Nam N2</t>
  </si>
  <si>
    <t xml:space="preserve"> Ỳ Phúc</t>
  </si>
  <si>
    <t xml:space="preserve"> Nhật Hân</t>
  </si>
  <si>
    <t xml:space="preserve"> Đức Hiền</t>
  </si>
  <si>
    <t xml:space="preserve"> Nguyên Khang</t>
  </si>
  <si>
    <t xml:space="preserve"> Thanh Tùng</t>
  </si>
  <si>
    <t xml:space="preserve"> Hoàng Long</t>
  </si>
  <si>
    <t>51kg Nam N2</t>
  </si>
  <si>
    <t xml:space="preserve"> Ngọc Quỳnh</t>
  </si>
  <si>
    <t xml:space="preserve"> Quảng Thịnh</t>
  </si>
  <si>
    <t>55kg Nam N2</t>
  </si>
  <si>
    <t xml:space="preserve"> Công Toàn</t>
  </si>
  <si>
    <t xml:space="preserve"> Thanh Giàu</t>
  </si>
  <si>
    <t xml:space="preserve"> Anh Kiệt</t>
  </si>
  <si>
    <t xml:space="preserve"> Duy Đại</t>
  </si>
  <si>
    <t xml:space="preserve"> Kỳ Anh</t>
  </si>
  <si>
    <t xml:space="preserve"> Phước Danh</t>
  </si>
  <si>
    <t xml:space="preserve"> Anh Khôi</t>
  </si>
  <si>
    <t xml:space="preserve"> Thái Tú</t>
  </si>
  <si>
    <t xml:space="preserve"> Thanh Bình</t>
  </si>
  <si>
    <t xml:space="preserve"> Thanh Duy</t>
  </si>
  <si>
    <t xml:space="preserve"> Đăng Nguyên</t>
  </si>
  <si>
    <t xml:space="preserve"> Nhân Tịnh</t>
  </si>
  <si>
    <t xml:space="preserve"> Phi Mạnh</t>
  </si>
  <si>
    <t xml:space="preserve"> Xuân Tùng</t>
  </si>
  <si>
    <t>Trần Nhân</t>
  </si>
  <si>
    <t xml:space="preserve"> Thiên Phú</t>
  </si>
  <si>
    <t xml:space="preserve"> Nam Triệu</t>
  </si>
  <si>
    <t xml:space="preserve"> Đình Kiên</t>
  </si>
  <si>
    <t xml:space="preserve"> Bảo Duy</t>
  </si>
  <si>
    <t xml:space="preserve"> Nhất Thiên</t>
  </si>
  <si>
    <t xml:space="preserve"> Tấn Triết</t>
  </si>
  <si>
    <t xml:space="preserve"> Gia Huy</t>
  </si>
  <si>
    <t xml:space="preserve"> Phát Tài</t>
  </si>
  <si>
    <t>Lịch thi đấu Nữ trẻ nhóm 2
Giải Vovinam trẻ và vô địch tỉnh Bình Thuận 2024</t>
  </si>
  <si>
    <t>42kg Nữ N2</t>
  </si>
  <si>
    <t xml:space="preserve"> Mỹ Trâm</t>
  </si>
  <si>
    <t xml:space="preserve"> Thùy Duyên</t>
  </si>
  <si>
    <t xml:space="preserve"> Ha Nim</t>
  </si>
  <si>
    <t xml:space="preserve"> Cẩm Đoan</t>
  </si>
  <si>
    <t>RỒI</t>
  </si>
  <si>
    <t xml:space="preserve"> Bảo Trâm</t>
  </si>
  <si>
    <t xml:space="preserve"> Diễm Hằng</t>
  </si>
  <si>
    <t xml:space="preserve"> Kỳ Thư</t>
  </si>
  <si>
    <t>45kg Nữ N2</t>
  </si>
  <si>
    <t xml:space="preserve"> Minh Vy</t>
  </si>
  <si>
    <t xml:space="preserve"> Thị Dời</t>
  </si>
  <si>
    <t xml:space="preserve"> Trúc Uyển</t>
  </si>
  <si>
    <t xml:space="preserve"> Mỹ Duyên</t>
  </si>
  <si>
    <t>39kg Nữ N2</t>
  </si>
  <si>
    <t xml:space="preserve"> Lan Anh</t>
  </si>
  <si>
    <t xml:space="preserve"> Bảo Nhiên</t>
  </si>
  <si>
    <t xml:space="preserve"> Minh Thy (33,45)</t>
  </si>
  <si>
    <t xml:space="preserve"> Thu Hà (38,50)</t>
  </si>
  <si>
    <t xml:space="preserve"> Minh Thy</t>
  </si>
  <si>
    <t xml:space="preserve"> Kim Ngọc</t>
  </si>
  <si>
    <t xml:space="preserve"> Phi Yến</t>
  </si>
  <si>
    <t xml:space="preserve"> Kỳ Duyên</t>
  </si>
  <si>
    <t xml:space="preserve"> Mai Ka</t>
  </si>
  <si>
    <t xml:space="preserve"> Khả Như</t>
  </si>
  <si>
    <t xml:space="preserve"> Ngọc Kim</t>
  </si>
  <si>
    <t xml:space="preserve"> Ái Phương</t>
  </si>
  <si>
    <t xml:space="preserve"> Cooc Hồng</t>
  </si>
  <si>
    <t xml:space="preserve"> Ngọc Diệu</t>
  </si>
  <si>
    <t xml:space="preserve"> Thủy Tiên</t>
  </si>
  <si>
    <t xml:space="preserve"> Bảo Trân</t>
  </si>
  <si>
    <t>48kg Nữ N2</t>
  </si>
  <si>
    <t xml:space="preserve"> Kim Thi</t>
  </si>
  <si>
    <t xml:space="preserve"> Thanh Xuân</t>
  </si>
  <si>
    <t xml:space="preserve"> Khánh Ngọc</t>
  </si>
  <si>
    <t xml:space="preserve"> Thảo Vy</t>
  </si>
  <si>
    <t xml:space="preserve"> Thị Phúc</t>
  </si>
  <si>
    <t xml:space="preserve"> Thúy Vy 46,85)</t>
  </si>
  <si>
    <t xml:space="preserve"> Nguyên Doanh (44,60)</t>
  </si>
  <si>
    <t xml:space="preserve"> Nguyên Doanh</t>
  </si>
  <si>
    <t>51kg Nữ N2</t>
  </si>
  <si>
    <t xml:space="preserve"> Yến Nhi (49,35)</t>
  </si>
  <si>
    <t xml:space="preserve"> Thảo Vy (50,15)</t>
  </si>
  <si>
    <t xml:space="preserve"> Yến Nhi</t>
  </si>
  <si>
    <t xml:space="preserve"> Lan Chi</t>
  </si>
  <si>
    <t xml:space="preserve"> Trang Thơ</t>
  </si>
  <si>
    <t>60kg Nữ N2</t>
  </si>
  <si>
    <t xml:space="preserve"> Anh Thơ (63,40)</t>
  </si>
  <si>
    <t xml:space="preserve"> Hòa Bình (55,0)</t>
  </si>
  <si>
    <t xml:space="preserve"> Hòa Bình </t>
  </si>
  <si>
    <t xml:space="preserve"> Quỳnh Giao</t>
  </si>
  <si>
    <t xml:space="preserve"> Thảo Vy (46,20)</t>
  </si>
  <si>
    <t xml:space="preserve"> Nguyên Doanh (44,90)</t>
  </si>
  <si>
    <t xml:space="preserve"> Hoàng Quân</t>
  </si>
  <si>
    <t xml:space="preserve"> Bảo Thy</t>
  </si>
  <si>
    <t>55kg Nữ N2</t>
  </si>
  <si>
    <t xml:space="preserve"> Thanh Sang</t>
  </si>
  <si>
    <t xml:space="preserve"> Nhã Đoan</t>
  </si>
  <si>
    <t xml:space="preserve"> Trúc Vi</t>
  </si>
  <si>
    <t xml:space="preserve"> Khánh Băng</t>
  </si>
  <si>
    <t xml:space="preserve"> Hòa Bình</t>
  </si>
  <si>
    <t xml:space="preserve"> Hoàng Ngân</t>
  </si>
  <si>
    <t xml:space="preserve"> Mỹ Linh</t>
  </si>
  <si>
    <t xml:space="preserve"> Yến Vy</t>
  </si>
  <si>
    <t>55Kg Nữ N2</t>
  </si>
  <si>
    <t>Tranh 3</t>
  </si>
  <si>
    <t xml:space="preserve">Thanh Sang </t>
  </si>
  <si>
    <t>Đức linh</t>
  </si>
  <si>
    <t>Trúc Vi</t>
  </si>
  <si>
    <t>Lịch thi đấu Nam vô địch
Giải Vovinam trẻ và vô địch tỉnh Bình Thuận 2024</t>
  </si>
  <si>
    <t>51kg Nam</t>
  </si>
  <si>
    <t xml:space="preserve"> Văn Đạt</t>
  </si>
  <si>
    <t xml:space="preserve"> Trung Nam</t>
  </si>
  <si>
    <t xml:space="preserve"> Quốc Long</t>
  </si>
  <si>
    <t>54kg Nam</t>
  </si>
  <si>
    <t xml:space="preserve"> Duy Hải (53,75)</t>
  </si>
  <si>
    <t xml:space="preserve"> Anh Nguyên (55,0)</t>
  </si>
  <si>
    <t xml:space="preserve"> Duy Hải</t>
  </si>
  <si>
    <t xml:space="preserve"> Thiên Phát</t>
  </si>
  <si>
    <t xml:space="preserve"> Trí Trường</t>
  </si>
  <si>
    <t>57kg Nam</t>
  </si>
  <si>
    <t xml:space="preserve"> Gia Kiệt</t>
  </si>
  <si>
    <t xml:space="preserve"> Tấn Linh</t>
  </si>
  <si>
    <t xml:space="preserve"> Duy Khải</t>
  </si>
  <si>
    <t xml:space="preserve"> Ngô Định</t>
  </si>
  <si>
    <t>Tuy Phong</t>
  </si>
  <si>
    <t xml:space="preserve"> Huỳnh Đức</t>
  </si>
  <si>
    <t xml:space="preserve"> Thành Đạt</t>
  </si>
  <si>
    <t xml:space="preserve"> Quang Vinh</t>
  </si>
  <si>
    <t xml:space="preserve"> Thạch Trường</t>
  </si>
  <si>
    <t>61kg Nam</t>
  </si>
  <si>
    <t xml:space="preserve"> Minh Phát</t>
  </si>
  <si>
    <t xml:space="preserve"> Minh Hưng</t>
  </si>
  <si>
    <t xml:space="preserve"> Minh Hoàng</t>
  </si>
  <si>
    <t xml:space="preserve"> Đăng Huy</t>
  </si>
  <si>
    <t xml:space="preserve"> Huỳnh Dân</t>
  </si>
  <si>
    <t>65kg Nam</t>
  </si>
  <si>
    <t xml:space="preserve"> Văn Xuân</t>
  </si>
  <si>
    <t xml:space="preserve"> Đăng Khôi</t>
  </si>
  <si>
    <t>Trên 65kg Nam</t>
  </si>
  <si>
    <t xml:space="preserve"> Văn Sáng</t>
  </si>
  <si>
    <t xml:space="preserve"> Minh Duy</t>
  </si>
  <si>
    <t xml:space="preserve"> An Trương</t>
  </si>
  <si>
    <t xml:space="preserve"> Thanh Hào</t>
  </si>
  <si>
    <t xml:space="preserve"> Bảo Khang</t>
  </si>
  <si>
    <t>42kg Nam</t>
  </si>
  <si>
    <t xml:space="preserve"> Anh Tuấn</t>
  </si>
  <si>
    <t xml:space="preserve"> Công Thiện</t>
  </si>
  <si>
    <t>48kg Nam</t>
  </si>
  <si>
    <t xml:space="preserve"> Trọng Vũ</t>
  </si>
  <si>
    <t xml:space="preserve"> Minh Phong</t>
  </si>
  <si>
    <t xml:space="preserve"> Anh Dũng</t>
  </si>
  <si>
    <t xml:space="preserve"> Ngọc Vàng</t>
  </si>
  <si>
    <t xml:space="preserve"> Văn Tài</t>
  </si>
  <si>
    <t xml:space="preserve"> Đoàn Dự</t>
  </si>
  <si>
    <t xml:space="preserve"> Thiên Long (50.85)</t>
  </si>
  <si>
    <t xml:space="preserve"> Xuân Nghĩa</t>
  </si>
  <si>
    <t xml:space="preserve"> Thiên Long</t>
  </si>
  <si>
    <t xml:space="preserve"> Văn Thắng</t>
  </si>
  <si>
    <t xml:space="preserve"> Đức Trung</t>
  </si>
  <si>
    <t xml:space="preserve"> Trung Hiếu</t>
  </si>
  <si>
    <t xml:space="preserve"> Triết Tường</t>
  </si>
  <si>
    <t xml:space="preserve"> Văn Tư</t>
  </si>
  <si>
    <t xml:space="preserve"> Thanh Trực</t>
  </si>
  <si>
    <t xml:space="preserve"> Thanh Phong</t>
  </si>
  <si>
    <t xml:space="preserve"> Cảnh Thuận</t>
  </si>
  <si>
    <t xml:space="preserve"> Quang Hưng</t>
  </si>
  <si>
    <t xml:space="preserve"> Quốc Cường</t>
  </si>
  <si>
    <t xml:space="preserve"> Minh Thiện</t>
  </si>
  <si>
    <t xml:space="preserve"> Anh Dũ</t>
  </si>
  <si>
    <t xml:space="preserve"> Tấn Hải</t>
  </si>
  <si>
    <t xml:space="preserve"> Minh Huy</t>
  </si>
  <si>
    <t xml:space="preserve"> Văn Huy</t>
  </si>
  <si>
    <t xml:space="preserve"> Hải Đăng</t>
  </si>
  <si>
    <t xml:space="preserve"> Huỳnh Duy</t>
  </si>
  <si>
    <t xml:space="preserve"> Nhật Duy</t>
  </si>
  <si>
    <t xml:space="preserve"> Cư Chinh</t>
  </si>
  <si>
    <t xml:space="preserve"> Khánh Đăng</t>
  </si>
  <si>
    <t xml:space="preserve"> Anh Duy</t>
  </si>
  <si>
    <t xml:space="preserve"> Quốc Huy</t>
  </si>
  <si>
    <t xml:space="preserve"> Tấn Long</t>
  </si>
  <si>
    <t xml:space="preserve"> Kim Sơn</t>
  </si>
  <si>
    <t xml:space="preserve"> Trạch Hưng</t>
  </si>
  <si>
    <t xml:space="preserve"> Bá Khôi</t>
  </si>
  <si>
    <t xml:space="preserve"> Minh Nghĩa</t>
  </si>
  <si>
    <t xml:space="preserve"> Nguyên Kha</t>
  </si>
  <si>
    <t>Nguyên Kha</t>
  </si>
  <si>
    <t xml:space="preserve"> Hùng Vũ</t>
  </si>
  <si>
    <t xml:space="preserve"> Phi Long</t>
  </si>
  <si>
    <t xml:space="preserve"> Phương Tú</t>
  </si>
  <si>
    <t xml:space="preserve"> Văn Thạch</t>
  </si>
  <si>
    <t>45kg Nam</t>
  </si>
  <si>
    <t xml:space="preserve"> Văn Tánh</t>
  </si>
  <si>
    <t xml:space="preserve"> Thanh Quang</t>
  </si>
  <si>
    <t xml:space="preserve"> Quốc Tiến</t>
  </si>
  <si>
    <t xml:space="preserve"> Văn Hùng</t>
  </si>
  <si>
    <t>45Kg Nam</t>
  </si>
  <si>
    <t>Lịch thi đấu Nữ vô địch 
Giải Vovinam trẻ và vô địch tỉnh Bình Thuận 2024</t>
  </si>
  <si>
    <t>45kg Nữ</t>
  </si>
  <si>
    <t xml:space="preserve"> Kim Chi</t>
  </si>
  <si>
    <t xml:space="preserve"> Thùy Trang</t>
  </si>
  <si>
    <t>39kg Nữ</t>
  </si>
  <si>
    <t xml:space="preserve"> Mỹ Quân</t>
  </si>
  <si>
    <t xml:space="preserve"> Nguyên Nhi</t>
  </si>
  <si>
    <t xml:space="preserve"> Thị Hoa</t>
  </si>
  <si>
    <t xml:space="preserve"> Thùy Giang</t>
  </si>
  <si>
    <t xml:space="preserve"> Ái Nhi</t>
  </si>
  <si>
    <t xml:space="preserve"> Thu Trang</t>
  </si>
  <si>
    <t xml:space="preserve"> Minh Thơ</t>
  </si>
  <si>
    <t>42kg Nữ</t>
  </si>
  <si>
    <t xml:space="preserve"> Bé Bi</t>
  </si>
  <si>
    <t xml:space="preserve"> Mai Hòa</t>
  </si>
  <si>
    <t xml:space="preserve"> Yến Thương (41,75)</t>
  </si>
  <si>
    <t xml:space="preserve"> Thu Hương (41,80)</t>
  </si>
  <si>
    <t xml:space="preserve"> Yến Thương</t>
  </si>
  <si>
    <t xml:space="preserve"> Thanh Tâm</t>
  </si>
  <si>
    <t xml:space="preserve"> Thùy Linh</t>
  </si>
  <si>
    <t xml:space="preserve"> Quỳnh Như</t>
  </si>
  <si>
    <t xml:space="preserve"> Thanh Khuê</t>
  </si>
  <si>
    <t>48kg Nữ</t>
  </si>
  <si>
    <t xml:space="preserve"> Mỹ Hương</t>
  </si>
  <si>
    <t xml:space="preserve"> Kim Phúc</t>
  </si>
  <si>
    <t xml:space="preserve"> Yến Trầm</t>
  </si>
  <si>
    <t>55kg Nữ</t>
  </si>
  <si>
    <t xml:space="preserve"> Nhật Hạ</t>
  </si>
  <si>
    <t xml:space="preserve"> Quỳnh Hương</t>
  </si>
  <si>
    <t>60kg Nữ</t>
  </si>
  <si>
    <t xml:space="preserve"> Tiểu Ngạn</t>
  </si>
  <si>
    <t xml:space="preserve"> Ý Tiên</t>
  </si>
  <si>
    <t xml:space="preserve"> Thu Hồng</t>
  </si>
  <si>
    <t xml:space="preserve"> Hoài An</t>
  </si>
  <si>
    <t>Trên 60kg Nữ</t>
  </si>
  <si>
    <t xml:space="preserve"> Đan Thy</t>
  </si>
  <si>
    <t xml:space="preserve"> Ngọc Trâm</t>
  </si>
  <si>
    <t xml:space="preserve"> Thanh Thuỷ</t>
  </si>
  <si>
    <t xml:space="preserve"> Thanh Châu</t>
  </si>
  <si>
    <t xml:space="preserve"> Ngọc Toả</t>
  </si>
  <si>
    <t>51kg Nữ</t>
  </si>
  <si>
    <t xml:space="preserve"> Thanh Trúc</t>
  </si>
  <si>
    <t xml:space="preserve"> Bảo Ngân</t>
  </si>
  <si>
    <t xml:space="preserve"> Bảo Trăm</t>
  </si>
  <si>
    <t xml:space="preserve"> Ngọc Trang</t>
  </si>
  <si>
    <t xml:space="preserve"> Cẩm Quý</t>
  </si>
  <si>
    <t xml:space="preserve"> Kiều Duyên</t>
  </si>
  <si>
    <t xml:space="preserve"> Trúc Vy</t>
  </si>
  <si>
    <t xml:space="preserve"> Cát Tường</t>
  </si>
  <si>
    <t xml:space="preserve"> Anh Thi</t>
  </si>
  <si>
    <t>Anh Thi</t>
  </si>
  <si>
    <t xml:space="preserve"> Nhật Qúy</t>
  </si>
  <si>
    <t>51Kg Nữ</t>
  </si>
  <si>
    <t>GIẢI  VOVINAM TRẺ VÀ VÔ ĐỊCH TỈNH BÌNH THUẬN NĂM 2024
QUYỀN TRẺ</t>
  </si>
  <si>
    <r>
      <rPr>
        <b/>
        <sz val="12"/>
        <color theme="1"/>
        <rFont val="Times New Roman"/>
      </rPr>
      <t xml:space="preserve">ĐƠN LUYỆN NAM: </t>
    </r>
    <r>
      <rPr>
        <sz val="12"/>
        <color theme="1"/>
        <rFont val="Times New Roman"/>
      </rPr>
      <t>NGŨ MÔN QUYỀN</t>
    </r>
  </si>
  <si>
    <t>STT</t>
  </si>
  <si>
    <t>HỌ VÀ TÊN</t>
  </si>
  <si>
    <t>NĂM 
SINH</t>
  </si>
  <si>
    <t>GIÁM ĐỊNH</t>
  </si>
  <si>
    <t>TỔNG
ĐIỂM</t>
  </si>
  <si>
    <t>XẾP
HẠNG</t>
  </si>
  <si>
    <t>Đặng Văn Tú</t>
  </si>
  <si>
    <t>Hạng 3</t>
  </si>
  <si>
    <t>Nguyễn Đình Huy</t>
  </si>
  <si>
    <t>Hạng 1</t>
  </si>
  <si>
    <t>Nguyễn Thanh Tùng</t>
  </si>
  <si>
    <t>Nguyễn Trường Thịnh</t>
  </si>
  <si>
    <t>Nguyễn Trọng Huy</t>
  </si>
  <si>
    <t>Hạng 2</t>
  </si>
  <si>
    <t>Mai Nguyễn Anh Khôi</t>
  </si>
  <si>
    <t>Lê Nam Triệu</t>
  </si>
  <si>
    <t>Nguyễn Du Thiên</t>
  </si>
  <si>
    <t>Nguyễn Tấn Trưởng</t>
  </si>
  <si>
    <t>Trần Tấn Đạt</t>
  </si>
  <si>
    <r>
      <rPr>
        <b/>
        <sz val="12"/>
        <color theme="1"/>
        <rFont val="Times New Roman"/>
      </rPr>
      <t xml:space="preserve">VOVINAM - SONG LUYỆN NAM: </t>
    </r>
    <r>
      <rPr>
        <sz val="12"/>
        <color theme="1"/>
        <rFont val="Times New Roman"/>
      </rPr>
      <t>SONG LUYỆN DAO</t>
    </r>
  </si>
  <si>
    <t>Thành Tuấn</t>
  </si>
  <si>
    <t>Văn Thật</t>
  </si>
  <si>
    <t>Kinh Kha</t>
  </si>
  <si>
    <t>Hải Đăng</t>
  </si>
  <si>
    <t>Ánh Ly</t>
  </si>
  <si>
    <t>Nguyễn Hữu Thịnh</t>
  </si>
  <si>
    <t>Lê Đặng Tường Khang</t>
  </si>
  <si>
    <t>Đoàn Minh Phương</t>
  </si>
  <si>
    <t>Huỳnh Duy Nghĩa</t>
  </si>
  <si>
    <t>Nguyễn Trần Thịnh Phát</t>
  </si>
  <si>
    <t>Nguyễn Đăng Phát Tài</t>
  </si>
  <si>
    <t>Lê Bá Dũng</t>
  </si>
  <si>
    <t>Dương Nguyên Khang</t>
  </si>
  <si>
    <t>Nguyễn Hữu khánh</t>
  </si>
  <si>
    <t>Phạm Nhật Hân</t>
  </si>
  <si>
    <t>Lưu Hoàng Duy</t>
  </si>
  <si>
    <t>Trần Xuân Đăng</t>
  </si>
  <si>
    <t>Võ Nhất Thiên</t>
  </si>
  <si>
    <t>Đoàn Tấn Đạt</t>
  </si>
  <si>
    <r>
      <rPr>
        <b/>
        <sz val="12"/>
        <color theme="1"/>
        <rFont val="Times New Roman"/>
      </rPr>
      <t xml:space="preserve">VOVINAM ĐỒNG ĐỘI NAM: </t>
    </r>
    <r>
      <rPr>
        <sz val="12"/>
        <color theme="1"/>
        <rFont val="Times New Roman"/>
      </rPr>
      <t>NGŨ MÔN QUYỀN</t>
    </r>
  </si>
  <si>
    <t>Hùng Quân</t>
  </si>
  <si>
    <t>Phạm Hồng Nhựt</t>
  </si>
  <si>
    <t>Hoàng Cao Minh</t>
  </si>
  <si>
    <t>Nguyễn Văn Lực</t>
  </si>
  <si>
    <t>Bùi Nguyễn Duy Thành</t>
  </si>
  <si>
    <t>Nguyễn Gia Bảo</t>
  </si>
  <si>
    <t>Huỳnh Bùi Anh Khoa</t>
  </si>
  <si>
    <t>Lê Minh Trường</t>
  </si>
  <si>
    <t>Lê Võ Bình Minh</t>
  </si>
  <si>
    <t>Biện Phước Danh</t>
  </si>
  <si>
    <t>Nguyễn Thanh Triều</t>
  </si>
  <si>
    <t>Nguyễn Nhân Trung Dũng</t>
  </si>
  <si>
    <t>Lê Minh Hoàng</t>
  </si>
  <si>
    <t>Phồng Quốc Đạt</t>
  </si>
  <si>
    <t>Phạm Duy Tân</t>
  </si>
  <si>
    <t>Nguyễn Mạnh Huy</t>
  </si>
  <si>
    <t>Phan Thiên Phú</t>
  </si>
  <si>
    <t>Nguyễn Công Vũ Hoàng</t>
  </si>
  <si>
    <r>
      <rPr>
        <b/>
        <sz val="12"/>
        <color theme="1"/>
        <rFont val="Times New Roman"/>
      </rPr>
      <t xml:space="preserve">ĐƠN LUYỆN NỮ TAY KHÔNG: </t>
    </r>
    <r>
      <rPr>
        <sz val="12"/>
        <color theme="1"/>
        <rFont val="Times New Roman"/>
      </rPr>
      <t>LONG HỔ QUYỀN</t>
    </r>
  </si>
  <si>
    <t>Ngọc Xuân</t>
  </si>
  <si>
    <t>Kim Tùng</t>
  </si>
  <si>
    <t>Lê Biện Trung Hòa</t>
  </si>
  <si>
    <t>Nguyễn Thị Diễm Hằng</t>
  </si>
  <si>
    <t>Lê Nguyễn Thị Thu Hà</t>
  </si>
  <si>
    <t>Nguyễn Hoàng Thiện An</t>
  </si>
  <si>
    <t>Đinh Đoàn Khánh Ngọc</t>
  </si>
  <si>
    <t>Nguyễn Mễ Du</t>
  </si>
  <si>
    <t>Nguyễn Quốc Lan Anh</t>
  </si>
  <si>
    <t>Nguyễn Lữ Trúc Uyển</t>
  </si>
  <si>
    <t>Trần Thảo Vy</t>
  </si>
  <si>
    <t>Lê Nhật Vy</t>
  </si>
  <si>
    <t>Lê Thị Thanh Nguyên</t>
  </si>
  <si>
    <t>Đỗ Phương Nhiên</t>
  </si>
  <si>
    <t>Phạm Thanh Thảo</t>
  </si>
  <si>
    <t>Ngô Thị Kim Kiều</t>
  </si>
  <si>
    <t>Châu Lý Minh An</t>
  </si>
  <si>
    <t>Trần Nguyễn Anh Thư</t>
  </si>
  <si>
    <r>
      <rPr>
        <b/>
        <sz val="12"/>
        <color theme="1"/>
        <rFont val="Times New Roman"/>
      </rPr>
      <t xml:space="preserve">ĐỒNG ĐỘI NỮ: </t>
    </r>
    <r>
      <rPr>
        <sz val="12"/>
        <color theme="1"/>
        <rFont val="Times New Roman"/>
      </rPr>
      <t>LONG HỔ QUYỀN</t>
    </r>
  </si>
  <si>
    <t>Ánh  Ly</t>
  </si>
  <si>
    <t>Huy Dũng</t>
  </si>
  <si>
    <t>Nguyễn Kim Ngân</t>
  </si>
  <si>
    <t>Trương Mỹ Anh</t>
  </si>
  <si>
    <t>Trần Nguyễn Khánh Thi</t>
  </si>
  <si>
    <t>Trần Gia Hân</t>
  </si>
  <si>
    <t>Bùi Nguyễn Thảo Nguyên</t>
  </si>
  <si>
    <t>Kim Nguyễn SaJa</t>
  </si>
  <si>
    <t>Võ Hoàng Ngân</t>
  </si>
  <si>
    <t>Huỳnh Ngọc An Nhiên</t>
  </si>
  <si>
    <t>Thông Trần Bảo Kim</t>
  </si>
  <si>
    <t>Lê Nguyễn Yến Như</t>
  </si>
  <si>
    <t>Huỳnh Khánh An</t>
  </si>
  <si>
    <t>Hồ Thị Ngọc Diệu</t>
  </si>
  <si>
    <t>Trần Ngọc Diệu Linh</t>
  </si>
  <si>
    <t>Nguyễn Ngọc Bảo Khuyên</t>
  </si>
  <si>
    <t>Nguyễn Minh Anh</t>
  </si>
  <si>
    <t>Nguyễn Huỳnh Trúc Ngân</t>
  </si>
  <si>
    <t>Từ Hoàng Kim Châu</t>
  </si>
  <si>
    <t>Phan Hoàng Ngân</t>
  </si>
  <si>
    <t>Trần Thanh Luân</t>
  </si>
  <si>
    <t>Võ Thị Thu Ngân</t>
  </si>
  <si>
    <t>Đa Nữ Cẩm Đoan</t>
  </si>
  <si>
    <t>Nguyễn Băng Khánh Ngọc</t>
  </si>
  <si>
    <t>Võ Vũ Nhã Đoan</t>
  </si>
  <si>
    <t>Đa Nữ Đoan Uyên</t>
  </si>
  <si>
    <t>Phùng Khánh Vy</t>
  </si>
  <si>
    <t>Phạm Trần Gia Hân</t>
  </si>
  <si>
    <t>Chướng Thị Kim Duyên</t>
  </si>
  <si>
    <t>Nguyễn Thanh Trúc</t>
  </si>
  <si>
    <t>Nguyễn Thị Thúy Vy</t>
  </si>
  <si>
    <t>Nguyễn Hoàng Ái Phương</t>
  </si>
  <si>
    <t>Nguyễn Trần Thiên Thanh</t>
  </si>
  <si>
    <t>Ao Thị Ngọc Ánh</t>
  </si>
  <si>
    <t>Nguyễn Thị Cẩm Tiên</t>
  </si>
  <si>
    <t>Nguyễn Ngọc Thuyền</t>
  </si>
  <si>
    <t>Nguyễn Ngọc Kỳ Duyên</t>
  </si>
  <si>
    <t>Phạm Thị Nhung</t>
  </si>
  <si>
    <t>Nguyễn Hoàng Yến Phương</t>
  </si>
  <si>
    <t>Huỳnh Thụy Mai Ka</t>
  </si>
  <si>
    <t>Phạm Thái Bảo Trân</t>
  </si>
  <si>
    <t>Trần Nguyễn Nguyên Doanh</t>
  </si>
  <si>
    <t>Bùi Trần Bảo Thy</t>
  </si>
  <si>
    <r>
      <rPr>
        <b/>
        <sz val="12"/>
        <color theme="1"/>
        <rFont val="Times New Roman"/>
      </rPr>
      <t xml:space="preserve">SONG LUYỆN NỮ: </t>
    </r>
    <r>
      <rPr>
        <sz val="12"/>
        <color theme="1"/>
        <rFont val="Times New Roman"/>
      </rPr>
      <t>SONG LUYỆN 2</t>
    </r>
  </si>
  <si>
    <t>Ung Nguyễn Hồng Thắm</t>
  </si>
  <si>
    <t>Huỳnh Thị Phúc</t>
  </si>
  <si>
    <t>Hà Phan Khánh Chi</t>
  </si>
  <si>
    <t>Lư Thanh Tường Vy</t>
  </si>
  <si>
    <t>Hoàng Thị Mỹ Duyên</t>
  </si>
  <si>
    <t>Nguyễn Ngọc Kỳ Thư</t>
  </si>
  <si>
    <t>TỰ VỆ NỮ</t>
  </si>
  <si>
    <t>Trần Trịnh Minh Thư</t>
  </si>
  <si>
    <t>Trần Lê Anh Tuấn</t>
  </si>
  <si>
    <t>Nguyễn Đăng Ngọc Kim</t>
  </si>
  <si>
    <t>Nguyễn Thanh Duy</t>
  </si>
  <si>
    <t>GIẢI VOVINAM TRẺ VÀ VÔ ĐỊCH TỈNH BÌNH THUẬN NĂM 2024
QUYỀN VÔ ĐỊCH</t>
  </si>
  <si>
    <r>
      <rPr>
        <b/>
        <sz val="12"/>
        <color theme="1"/>
        <rFont val="Times New Roman"/>
      </rPr>
      <t xml:space="preserve">ĐƠN LUYỆN NAM VŨ KHÍ:  </t>
    </r>
    <r>
      <rPr>
        <sz val="12"/>
        <color theme="1"/>
        <rFont val="Times New Roman"/>
      </rPr>
      <t>TỨ TƯỢNG CÔN PHÁP</t>
    </r>
  </si>
  <si>
    <t>Nguyễn Hoàng Phi Long</t>
  </si>
  <si>
    <t>Trần Quốc Long</t>
  </si>
  <si>
    <t>Phạm Hoàng Gia Bảo</t>
  </si>
  <si>
    <t>Lê Võ Anh Dũng</t>
  </si>
  <si>
    <t>Ngô Đa Huy</t>
  </si>
  <si>
    <t>Ngô Anh Bảo Khang</t>
  </si>
  <si>
    <t>Nguyễn Nguyên Kha</t>
  </si>
  <si>
    <t>Nguyễn Minh Phát</t>
  </si>
  <si>
    <t>Bỏ thi đấu</t>
  </si>
  <si>
    <r>
      <rPr>
        <b/>
        <sz val="12"/>
        <color theme="1"/>
        <rFont val="Times New Roman"/>
      </rPr>
      <t xml:space="preserve">SONG LUYỆN NAM: </t>
    </r>
    <r>
      <rPr>
        <sz val="12"/>
        <color theme="1"/>
        <rFont val="Times New Roman"/>
      </rPr>
      <t>SONG LUYỆN MÃ TẤU</t>
    </r>
  </si>
  <si>
    <t>Lê Huỳnh Duy Hải</t>
  </si>
  <si>
    <t>Mã Anh Duy</t>
  </si>
  <si>
    <t>Đặng Huỳnh Duy</t>
  </si>
  <si>
    <t>Huỳnh Quốc Danh</t>
  </si>
  <si>
    <t>Nguyễn Thanh Trực</t>
  </si>
  <si>
    <t>Nguyễn Đăng Thiên Triều</t>
  </si>
  <si>
    <t xml:space="preserve">Đặng Văn Tài </t>
  </si>
  <si>
    <t xml:space="preserve">Phạm Văn Xuân </t>
  </si>
  <si>
    <t>Huỳnh Quang Vinh</t>
  </si>
  <si>
    <t>Lê Nhất Thiên Long</t>
  </si>
  <si>
    <t>Huỳnh Gia Kiệt</t>
  </si>
  <si>
    <t>Nguyễn Đức Thiên</t>
  </si>
  <si>
    <r>
      <rPr>
        <b/>
        <sz val="12"/>
        <color theme="1"/>
        <rFont val="Times New Roman"/>
      </rPr>
      <t xml:space="preserve">ĐỒNG ĐỘI NAM: </t>
    </r>
    <r>
      <rPr>
        <sz val="12"/>
        <color theme="1"/>
        <rFont val="Times New Roman"/>
      </rPr>
      <t>NGŨ MÔN QUYỀN</t>
    </r>
  </si>
  <si>
    <t>Quốc Tịnh</t>
  </si>
  <si>
    <t>Thanh Hiếu</t>
  </si>
  <si>
    <t>Hồng Thái</t>
  </si>
  <si>
    <t>Lợi Hòa</t>
  </si>
  <si>
    <t>Văn Quảng</t>
  </si>
  <si>
    <t>Nguyễn Ngọc Minh Phú</t>
  </si>
  <si>
    <t>Trần Quốc Cường</t>
  </si>
  <si>
    <t>Trần Nguyễn Minh Hưng</t>
  </si>
  <si>
    <t>Nguyễn Anh Tuấn</t>
  </si>
  <si>
    <t>Phan Minh Nghĩa</t>
  </si>
  <si>
    <t xml:space="preserve">Mạch Thanh Bình </t>
  </si>
  <si>
    <t>Phạm Văn Sáng</t>
  </si>
  <si>
    <r>
      <rPr>
        <b/>
        <sz val="12"/>
        <color theme="1"/>
        <rFont val="Times New Roman"/>
      </rPr>
      <t xml:space="preserve">ĐA LUYỆN NAM: </t>
    </r>
    <r>
      <rPr>
        <sz val="12"/>
        <color theme="1"/>
        <rFont val="Times New Roman"/>
      </rPr>
      <t>ĐA LUYỆN VŨ KHÍ</t>
    </r>
  </si>
  <si>
    <t>Lynh Tần</t>
  </si>
  <si>
    <t>Hồng Châu</t>
  </si>
  <si>
    <t>Trần Minh Phong</t>
  </si>
  <si>
    <t>Lương Trần Đình</t>
  </si>
  <si>
    <t>Nguyễn Thanh Phương</t>
  </si>
  <si>
    <t xml:space="preserve"> Võ Trung Hiếu</t>
  </si>
  <si>
    <t xml:space="preserve"> Lê Văn Tư</t>
  </si>
  <si>
    <t xml:space="preserve"> Hồ Thành Đạt</t>
  </si>
  <si>
    <t xml:space="preserve"> Lê Tấn Hải</t>
  </si>
  <si>
    <t>Nguyễn Công Thiện</t>
  </si>
  <si>
    <t>Huỳnh Đức</t>
  </si>
  <si>
    <t>Trần Nguyễn Khánh Đăng</t>
  </si>
  <si>
    <t>Đỗ Ngọc Đoàn Dự</t>
  </si>
  <si>
    <t>thi lại</t>
  </si>
  <si>
    <t>Điểm cũ</t>
  </si>
  <si>
    <t>KL</t>
  </si>
  <si>
    <t>Nguyễn Thạch Trường</t>
  </si>
  <si>
    <t xml:space="preserve">Kiều Xuân Nghĩa </t>
  </si>
  <si>
    <t xml:space="preserve">Nguyễn Triết Tường </t>
  </si>
  <si>
    <t>Võ Ngô Định</t>
  </si>
  <si>
    <t>HG</t>
  </si>
  <si>
    <t>Lê Văn Hùng</t>
  </si>
  <si>
    <t>Nguyễn Anh Dũ</t>
  </si>
  <si>
    <t>ĐÒN CHÂN TẤN CÔNG</t>
  </si>
  <si>
    <t>Thanh Đoàn</t>
  </si>
  <si>
    <t>Đoàn Ngọc Vàng</t>
  </si>
  <si>
    <t>Lư Văn Tánh</t>
  </si>
  <si>
    <t xml:space="preserve">Phùng Văn Huy </t>
  </si>
  <si>
    <t>Cao Lương Phúc Trí</t>
  </si>
  <si>
    <r>
      <rPr>
        <b/>
        <sz val="12"/>
        <color theme="1"/>
        <rFont val="Times New Roman"/>
      </rPr>
      <t xml:space="preserve">ĐƠN LUYỆN NỮ TAY KHÔNG: </t>
    </r>
    <r>
      <rPr>
        <sz val="12"/>
        <color theme="1"/>
        <rFont val="Times New Roman"/>
      </rPr>
      <t>LONG HỔ QUYỀN</t>
    </r>
  </si>
  <si>
    <t>Xuân Chiến</t>
  </si>
  <si>
    <t>Võ Thị Cát Tường</t>
  </si>
  <si>
    <t>Huỳnh Nguyễn Bảo Uyên</t>
  </si>
  <si>
    <t>Nguyễn Nhật Ái Nhi</t>
  </si>
  <si>
    <t>Lê Thị Ngọc Diễm</t>
  </si>
  <si>
    <t>Trần Thị Thu Trang</t>
  </si>
  <si>
    <t xml:space="preserve">Lê Trần Tiểu Ngạn </t>
  </si>
  <si>
    <t>Dương Thị Phương Trâm</t>
  </si>
  <si>
    <t xml:space="preserve"> Nguyễn Thị Mỹ Hương</t>
  </si>
  <si>
    <t>Nguyễn Thị Bé Bi</t>
  </si>
  <si>
    <t>Nguyễn Ánh Thanh Trúc</t>
  </si>
  <si>
    <t>Nguyễn Ngọc Ý Tiên</t>
  </si>
  <si>
    <t>Hoàng Ngân</t>
  </si>
  <si>
    <t>Nguyễn Thị Thanh Bình</t>
  </si>
  <si>
    <r>
      <rPr>
        <b/>
        <sz val="12"/>
        <color theme="1"/>
        <rFont val="Times New Roman"/>
      </rPr>
      <t xml:space="preserve">ĐỒNG ĐỘI NỮ: </t>
    </r>
    <r>
      <rPr>
        <sz val="12"/>
        <color theme="1"/>
        <rFont val="Times New Roman"/>
      </rPr>
      <t>LONG HỔ QUYỀN</t>
    </r>
  </si>
  <si>
    <t>Lê Nguyên Nhi</t>
  </si>
  <si>
    <t>Nguyễn Thị Kiều Duyên</t>
  </si>
  <si>
    <t>Huỳnh Nữ Kim Ngân</t>
  </si>
  <si>
    <t>Nguyễn Thị Quỳnh Hương</t>
  </si>
  <si>
    <t>Thân Nguyễn Hoàng Nhã Trúc</t>
  </si>
  <si>
    <t>Lê Nhật Ny</t>
  </si>
  <si>
    <t>Huỳnh Lục Thanh Thuỷ</t>
  </si>
  <si>
    <t>Lê Thị Kim Chi</t>
  </si>
  <si>
    <t>Nguyễn Khánh Trinh</t>
  </si>
  <si>
    <t>Võ Thị Mỹ Quân</t>
  </si>
  <si>
    <t>Võ Hiền Bảo Trăm</t>
  </si>
  <si>
    <t>Phạm Khánh Băng</t>
  </si>
  <si>
    <t>Nguyễn Thanh Tâm</t>
  </si>
  <si>
    <t xml:space="preserve">Lâm Đặng Thùy Giang </t>
  </si>
  <si>
    <t xml:space="preserve">Dụng Thị Yến Thương </t>
  </si>
  <si>
    <t>Lê Hoài An</t>
  </si>
  <si>
    <t>Đoàn Thái Thảo Trâm</t>
  </si>
  <si>
    <r>
      <rPr>
        <b/>
        <sz val="12"/>
        <color theme="1"/>
        <rFont val="Times New Roman"/>
      </rPr>
      <t xml:space="preserve">SONG LUYỆN NỮ: </t>
    </r>
    <r>
      <rPr>
        <sz val="12"/>
        <color theme="1"/>
        <rFont val="Times New Roman"/>
      </rPr>
      <t>SONG LUYỆN 3</t>
    </r>
  </si>
  <si>
    <t xml:space="preserve"> Huỳnh Thị Ngọc Trang</t>
  </si>
  <si>
    <t>Lê Thị Hồng Hà</t>
  </si>
  <si>
    <r>
      <rPr>
        <b/>
        <sz val="12"/>
        <color theme="1"/>
        <rFont val="Times New Roman"/>
      </rPr>
      <t>ĐA LUYỆN NỮ:</t>
    </r>
    <r>
      <rPr>
        <sz val="12"/>
        <color theme="1"/>
        <rFont val="Times New Roman"/>
      </rPr>
      <t xml:space="preserve"> ĐA LUYỆN TAY KHÔNG</t>
    </r>
  </si>
  <si>
    <t>điểm cũ</t>
  </si>
  <si>
    <t>Hạng 2
thi lại</t>
  </si>
  <si>
    <t>Hạng 1
thi lại</t>
  </si>
  <si>
    <t>Nguyễn Cảnh Thuận</t>
  </si>
  <si>
    <t>Nguyễn Thị Thu Trang</t>
  </si>
  <si>
    <t>Trần Anh Khoa</t>
  </si>
  <si>
    <t>Đỗ Khánh Vy</t>
  </si>
  <si>
    <t>Nguyễn Trung Nam</t>
  </si>
  <si>
    <t>Trần Thị Bích Ngà</t>
  </si>
  <si>
    <t>Phan Ngọc Kim Ngân</t>
  </si>
  <si>
    <t>Dương Thanh Phong</t>
  </si>
  <si>
    <t>Châu Thị Thu Hồng</t>
  </si>
  <si>
    <t>Trịnh Văn Linh</t>
  </si>
  <si>
    <t>Nguyễn Thị Nga</t>
  </si>
  <si>
    <t>Trần Trí Trường</t>
  </si>
  <si>
    <t>Nguyễn Thị Mai Hòa</t>
  </si>
  <si>
    <t>Trần Trạch Hưng</t>
  </si>
  <si>
    <t>Tằng Nhục Phoón</t>
  </si>
  <si>
    <t>ĐƠN
VỊ</t>
  </si>
  <si>
    <t>NỘI DUNG QUYỀN</t>
  </si>
  <si>
    <t>ĐỐI KHÁNG</t>
  </si>
  <si>
    <t>VÀNG</t>
  </si>
  <si>
    <t>BẠC</t>
  </si>
  <si>
    <t>ĐỒNG</t>
  </si>
  <si>
    <t>HẠNG</t>
  </si>
  <si>
    <t>Trẻ &lt;15 (2009 về sau)</t>
  </si>
  <si>
    <t>Vô địch &gt;16 (2007 về trước)</t>
  </si>
  <si>
    <t>Trẻ 11 - 13 (2011 - 2013)</t>
  </si>
  <si>
    <t>Trẻ 14 - 15 (2009 - 2010)</t>
  </si>
  <si>
    <t>Vô địch &gt;16t (2008 trở về trước)</t>
  </si>
  <si>
    <t>NAM</t>
  </si>
  <si>
    <t>NỮ</t>
  </si>
  <si>
    <t>Nam</t>
  </si>
  <si>
    <t>ĐĐ</t>
  </si>
  <si>
    <t>ĐL</t>
  </si>
  <si>
    <t>SL</t>
  </si>
  <si>
    <t>TV</t>
  </si>
  <si>
    <t>Đa
 L</t>
  </si>
  <si>
    <t>ĐCTC</t>
  </si>
  <si>
    <t>&gt;50</t>
  </si>
  <si>
    <t>&gt;65</t>
  </si>
  <si>
    <t>&gt;60</t>
  </si>
  <si>
    <t>Huyện Bắc Bình</t>
  </si>
  <si>
    <t>Huyện Hàm Tân</t>
  </si>
  <si>
    <t>Cty TNHH SX&amp;TM Quang Minh Phát VN</t>
  </si>
  <si>
    <t>Cty Quảng cáo Thành Danh</t>
  </si>
  <si>
    <t>Huyện Đức Linh</t>
  </si>
  <si>
    <t>Cty TNHH DV QC – Nội thất Ngọc Phát</t>
  </si>
  <si>
    <t>Thành phố Phan Thiết</t>
  </si>
  <si>
    <t>II</t>
  </si>
  <si>
    <t>Công ty TNHH khoáng sản Phượng Hoàng</t>
  </si>
  <si>
    <t>Huyện Phú Quý</t>
  </si>
  <si>
    <t>Hợp tác xã Thanh Long Thuận Tiến</t>
  </si>
  <si>
    <t>Trường THCS &amp; THPT Lê Lợi</t>
  </si>
  <si>
    <t>Cty TNHH Ba Mươi Vuông</t>
  </si>
  <si>
    <t>Cty Trầm Hương Hoàng Giang</t>
  </si>
  <si>
    <t>I</t>
  </si>
  <si>
    <t>Huyện Hàm Thuận Nam</t>
  </si>
  <si>
    <t>Cty TNHH Kiến Trúc – XD Lý Thanh</t>
  </si>
  <si>
    <t>Cty TNHH Kiến Trúc – XD Khắc Long</t>
  </si>
  <si>
    <t>III</t>
  </si>
  <si>
    <t>Cty TNHH Hoàng Ngân MN</t>
  </si>
  <si>
    <t>Cty TNHH Logistics SDP</t>
  </si>
  <si>
    <t>Huyện Hàm Thuận Bắc</t>
  </si>
  <si>
    <t>HTX SX &amp; TM Nhất Tâm</t>
  </si>
  <si>
    <t>Hạng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</si>
</sst>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  <scheme val="minor"/>
    </font>
    <font>
      <sz val="12"/>
      <color theme="1"/>
      <name val="Times New Roman"/>
    </font>
    <font>
      <b/>
      <i/>
      <sz val="16"/>
      <color theme="1"/>
      <name val="Times New Roman"/>
    </font>
    <font>
      <sz val="11"/>
      <name val="Arial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rgb="FF000000"/>
      <name val="&quot;Times New Roman&quot;"/>
    </font>
    <font>
      <sz val="11"/>
      <color theme="1"/>
      <name val="Arial"/>
    </font>
    <font>
      <sz val="11"/>
      <color theme="1"/>
      <name val="Times New Roman"/>
    </font>
    <font>
      <b/>
      <sz val="8"/>
      <color rgb="FF000000"/>
      <name val="Times New Roman"/>
    </font>
    <font>
      <sz val="8"/>
      <color rgb="FF000000"/>
      <name val="Times New Roman"/>
    </font>
    <font>
      <sz val="12"/>
      <color theme="1"/>
      <name val="Times New Roman"/>
      <family val="1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99CC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/>
    <xf numFmtId="0" fontId="1" fillId="5" borderId="1" xfId="0" applyFont="1" applyFill="1" applyBorder="1"/>
    <xf numFmtId="0" fontId="1" fillId="0" borderId="1" xfId="0" applyFont="1" applyBorder="1" applyAlignment="1"/>
    <xf numFmtId="0" fontId="1" fillId="6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/>
    <xf numFmtId="0" fontId="1" fillId="0" borderId="2" xfId="0" applyFont="1" applyBorder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0" xfId="0" applyFont="1" applyBorder="1"/>
    <xf numFmtId="0" fontId="9" fillId="0" borderId="4" xfId="0" applyFont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3" fillId="0" borderId="17" xfId="0" applyFont="1" applyBorder="1"/>
    <xf numFmtId="0" fontId="9" fillId="0" borderId="2" xfId="0" applyFont="1" applyBorder="1" applyAlignment="1">
      <alignment horizontal="center"/>
    </xf>
    <xf numFmtId="0" fontId="9" fillId="6" borderId="4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9" fillId="6" borderId="16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" fillId="8" borderId="1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8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6" borderId="2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theme="2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2" tint="-0.34998626667073579"/>
        </patternFill>
      </fill>
    </dxf>
    <dxf>
      <font>
        <color auto="1"/>
      </font>
      <fill>
        <patternFill>
          <bgColor theme="7" tint="-0.24994659260841701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1"/>
      </font>
      <fill>
        <patternFill>
          <bgColor theme="2" tint="-0.14996795556505021"/>
        </patternFill>
      </fill>
    </dxf>
    <dxf>
      <font>
        <color auto="1"/>
      </font>
      <fill>
        <patternFill>
          <bgColor theme="7" tint="-0.24994659260841701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2" tint="-0.24994659260841701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C2E5"/>
  </sheetPr>
  <dimension ref="A1:M1000"/>
  <sheetViews>
    <sheetView workbookViewId="0">
      <pane xSplit="3" topLeftCell="D1" activePane="topRight" state="frozen"/>
      <selection pane="topRight" activeCell="I4" sqref="I4"/>
    </sheetView>
  </sheetViews>
  <sheetFormatPr defaultColWidth="12.6328125" defaultRowHeight="15.05" customHeight="1"/>
  <cols>
    <col min="1" max="1" width="6.08984375" customWidth="1"/>
    <col min="2" max="2" width="6.90625" customWidth="1"/>
    <col min="3" max="3" width="16.90625" customWidth="1"/>
    <col min="4" max="4" width="15.6328125" customWidth="1"/>
    <col min="5" max="5" width="17" customWidth="1"/>
    <col min="6" max="6" width="17.90625" customWidth="1"/>
    <col min="7" max="7" width="20.08984375" customWidth="1"/>
    <col min="8" max="8" width="22.08984375" customWidth="1"/>
    <col min="9" max="9" width="15.90625" customWidth="1"/>
    <col min="10" max="10" width="19.08984375" customWidth="1"/>
    <col min="11" max="13" width="8.6328125" customWidth="1"/>
  </cols>
  <sheetData>
    <row r="1" spans="1:13" ht="45.8" customHeight="1">
      <c r="A1" s="1"/>
      <c r="B1" s="2"/>
      <c r="C1" s="46" t="s">
        <v>0</v>
      </c>
      <c r="D1" s="47"/>
      <c r="E1" s="47"/>
      <c r="F1" s="47"/>
      <c r="G1" s="47"/>
      <c r="H1" s="47"/>
      <c r="I1" s="47"/>
      <c r="J1" s="47"/>
      <c r="K1" s="3"/>
      <c r="L1" s="3"/>
      <c r="M1" s="3"/>
    </row>
    <row r="2" spans="1:13" ht="15.05" customHeight="1">
      <c r="A2" s="48" t="s">
        <v>1</v>
      </c>
      <c r="B2" s="48" t="s">
        <v>2</v>
      </c>
      <c r="C2" s="48" t="s">
        <v>3</v>
      </c>
      <c r="D2" s="48" t="s">
        <v>4</v>
      </c>
      <c r="E2" s="50" t="s">
        <v>5</v>
      </c>
      <c r="F2" s="51"/>
      <c r="G2" s="52" t="s">
        <v>6</v>
      </c>
      <c r="H2" s="51"/>
      <c r="I2" s="53" t="s">
        <v>7</v>
      </c>
      <c r="J2" s="51"/>
      <c r="K2" s="4"/>
      <c r="L2" s="4"/>
      <c r="M2" s="4"/>
    </row>
    <row r="3" spans="1:13" ht="18" customHeight="1">
      <c r="A3" s="49"/>
      <c r="B3" s="49"/>
      <c r="C3" s="49"/>
      <c r="D3" s="49"/>
      <c r="E3" s="5" t="s">
        <v>8</v>
      </c>
      <c r="F3" s="5" t="s">
        <v>9</v>
      </c>
      <c r="G3" s="6" t="s">
        <v>8</v>
      </c>
      <c r="H3" s="6" t="s">
        <v>9</v>
      </c>
      <c r="I3" s="7" t="s">
        <v>8</v>
      </c>
      <c r="J3" s="8" t="s">
        <v>9</v>
      </c>
      <c r="K3" s="9"/>
      <c r="L3" s="9"/>
      <c r="M3" s="9"/>
    </row>
    <row r="4" spans="1:13" ht="15.05" customHeight="1">
      <c r="A4" s="1">
        <v>1</v>
      </c>
      <c r="B4" s="10">
        <v>1</v>
      </c>
      <c r="C4" s="10" t="s">
        <v>10</v>
      </c>
      <c r="D4" s="10" t="s">
        <v>11</v>
      </c>
      <c r="E4" s="11" t="s">
        <v>12</v>
      </c>
      <c r="F4" s="11" t="s">
        <v>13</v>
      </c>
      <c r="G4" s="12" t="s">
        <v>14</v>
      </c>
      <c r="H4" s="12" t="s">
        <v>15</v>
      </c>
      <c r="I4" s="13" t="s">
        <v>12</v>
      </c>
      <c r="J4" s="13" t="s">
        <v>13</v>
      </c>
      <c r="K4" s="3"/>
      <c r="L4" s="3"/>
      <c r="M4" s="3"/>
    </row>
    <row r="5" spans="1:13" ht="15.05" customHeight="1">
      <c r="A5" s="1">
        <v>2</v>
      </c>
      <c r="B5" s="10">
        <v>1</v>
      </c>
      <c r="C5" s="10" t="s">
        <v>10</v>
      </c>
      <c r="D5" s="10" t="s">
        <v>11</v>
      </c>
      <c r="E5" s="11" t="s">
        <v>16</v>
      </c>
      <c r="F5" s="11" t="s">
        <v>17</v>
      </c>
      <c r="G5" s="12" t="s">
        <v>18</v>
      </c>
      <c r="H5" s="12" t="s">
        <v>19</v>
      </c>
      <c r="I5" s="12" t="s">
        <v>16</v>
      </c>
      <c r="J5" s="12" t="s">
        <v>17</v>
      </c>
      <c r="K5" s="3"/>
      <c r="L5" s="3"/>
      <c r="M5" s="3"/>
    </row>
    <row r="6" spans="1:13" ht="15.05" customHeight="1">
      <c r="A6" s="1">
        <v>3</v>
      </c>
      <c r="B6" s="10">
        <v>1</v>
      </c>
      <c r="C6" s="10" t="s">
        <v>10</v>
      </c>
      <c r="D6" s="10" t="s">
        <v>11</v>
      </c>
      <c r="E6" s="12" t="s">
        <v>20</v>
      </c>
      <c r="F6" s="12" t="s">
        <v>21</v>
      </c>
      <c r="G6" s="11" t="s">
        <v>22</v>
      </c>
      <c r="H6" s="11" t="s">
        <v>23</v>
      </c>
      <c r="I6" s="12" t="s">
        <v>22</v>
      </c>
      <c r="J6" s="12" t="s">
        <v>23</v>
      </c>
      <c r="K6" s="3"/>
      <c r="L6" s="3"/>
      <c r="M6" s="3"/>
    </row>
    <row r="7" spans="1:13" ht="15.05" customHeight="1">
      <c r="A7" s="1">
        <v>4</v>
      </c>
      <c r="B7" s="10">
        <v>1</v>
      </c>
      <c r="C7" s="10" t="s">
        <v>24</v>
      </c>
      <c r="D7" s="10" t="s">
        <v>11</v>
      </c>
      <c r="E7" s="12" t="s">
        <v>25</v>
      </c>
      <c r="F7" s="12" t="s">
        <v>23</v>
      </c>
      <c r="G7" s="11" t="s">
        <v>26</v>
      </c>
      <c r="H7" s="11" t="s">
        <v>27</v>
      </c>
      <c r="I7" s="12" t="s">
        <v>26</v>
      </c>
      <c r="J7" s="12" t="s">
        <v>27</v>
      </c>
      <c r="K7" s="3"/>
      <c r="L7" s="3"/>
      <c r="M7" s="3"/>
    </row>
    <row r="8" spans="1:13" ht="15.05" customHeight="1">
      <c r="A8" s="1">
        <v>5</v>
      </c>
      <c r="B8" s="10">
        <v>1</v>
      </c>
      <c r="C8" s="10" t="s">
        <v>28</v>
      </c>
      <c r="D8" s="10" t="s">
        <v>11</v>
      </c>
      <c r="E8" s="12" t="s">
        <v>29</v>
      </c>
      <c r="F8" s="12" t="s">
        <v>30</v>
      </c>
      <c r="G8" s="11" t="s">
        <v>31</v>
      </c>
      <c r="H8" s="11" t="s">
        <v>21</v>
      </c>
      <c r="I8" s="12" t="s">
        <v>31</v>
      </c>
      <c r="J8" s="12" t="s">
        <v>21</v>
      </c>
      <c r="K8" s="3"/>
      <c r="L8" s="3"/>
      <c r="M8" s="3"/>
    </row>
    <row r="9" spans="1:13" ht="15.05" customHeight="1">
      <c r="A9" s="1">
        <v>6</v>
      </c>
      <c r="B9" s="10">
        <v>1</v>
      </c>
      <c r="C9" s="10" t="s">
        <v>32</v>
      </c>
      <c r="D9" s="10" t="s">
        <v>11</v>
      </c>
      <c r="E9" s="12" t="s">
        <v>33</v>
      </c>
      <c r="F9" s="12" t="s">
        <v>34</v>
      </c>
      <c r="G9" s="11" t="s">
        <v>35</v>
      </c>
      <c r="H9" s="11" t="s">
        <v>21</v>
      </c>
      <c r="I9" s="12" t="s">
        <v>35</v>
      </c>
      <c r="J9" s="12" t="s">
        <v>21</v>
      </c>
      <c r="K9" s="3"/>
      <c r="L9" s="3"/>
      <c r="M9" s="3"/>
    </row>
    <row r="10" spans="1:13" ht="15.05" customHeight="1">
      <c r="A10" s="1">
        <v>7</v>
      </c>
      <c r="B10" s="10">
        <v>1</v>
      </c>
      <c r="C10" s="10" t="s">
        <v>10</v>
      </c>
      <c r="D10" s="10" t="s">
        <v>11</v>
      </c>
      <c r="E10" s="13" t="s">
        <v>12</v>
      </c>
      <c r="F10" s="13" t="s">
        <v>13</v>
      </c>
      <c r="G10" s="11" t="s">
        <v>16</v>
      </c>
      <c r="H10" s="11" t="s">
        <v>17</v>
      </c>
      <c r="I10" s="12" t="s">
        <v>16</v>
      </c>
      <c r="J10" s="12" t="s">
        <v>17</v>
      </c>
      <c r="K10" s="3"/>
      <c r="L10" s="3"/>
      <c r="M10" s="3"/>
    </row>
    <row r="11" spans="1:13" ht="15.05" customHeight="1">
      <c r="A11" s="1">
        <v>8</v>
      </c>
      <c r="B11" s="10">
        <v>1</v>
      </c>
      <c r="C11" s="10" t="s">
        <v>10</v>
      </c>
      <c r="D11" s="10" t="s">
        <v>11</v>
      </c>
      <c r="E11" s="12" t="s">
        <v>36</v>
      </c>
      <c r="F11" s="12" t="s">
        <v>30</v>
      </c>
      <c r="G11" s="11" t="s">
        <v>37</v>
      </c>
      <c r="H11" s="11" t="s">
        <v>27</v>
      </c>
      <c r="I11" s="12" t="s">
        <v>38</v>
      </c>
      <c r="J11" s="12" t="s">
        <v>27</v>
      </c>
      <c r="K11" s="3"/>
      <c r="L11" s="3"/>
      <c r="M11" s="3"/>
    </row>
    <row r="12" spans="1:13" ht="15.05" customHeight="1">
      <c r="A12" s="1">
        <v>9</v>
      </c>
      <c r="B12" s="10">
        <v>1</v>
      </c>
      <c r="C12" s="10" t="s">
        <v>10</v>
      </c>
      <c r="D12" s="10" t="s">
        <v>11</v>
      </c>
      <c r="E12" s="11" t="s">
        <v>39</v>
      </c>
      <c r="F12" s="11" t="s">
        <v>40</v>
      </c>
      <c r="G12" s="12" t="s">
        <v>41</v>
      </c>
      <c r="H12" s="12" t="s">
        <v>42</v>
      </c>
      <c r="I12" s="12" t="s">
        <v>39</v>
      </c>
      <c r="J12" s="12" t="s">
        <v>40</v>
      </c>
      <c r="K12" s="3"/>
      <c r="L12" s="3"/>
      <c r="M12" s="3"/>
    </row>
    <row r="13" spans="1:13" ht="15.05" customHeight="1">
      <c r="A13" s="1">
        <v>10</v>
      </c>
      <c r="B13" s="10">
        <v>1</v>
      </c>
      <c r="C13" s="10" t="s">
        <v>10</v>
      </c>
      <c r="D13" s="10" t="s">
        <v>11</v>
      </c>
      <c r="E13" s="12" t="s">
        <v>43</v>
      </c>
      <c r="F13" s="12" t="s">
        <v>44</v>
      </c>
      <c r="G13" s="11" t="s">
        <v>22</v>
      </c>
      <c r="H13" s="11" t="s">
        <v>23</v>
      </c>
      <c r="I13" s="12" t="s">
        <v>22</v>
      </c>
      <c r="J13" s="12" t="s">
        <v>23</v>
      </c>
      <c r="K13" s="3"/>
      <c r="L13" s="3"/>
      <c r="M13" s="3"/>
    </row>
    <row r="14" spans="1:13" ht="15.05" customHeight="1">
      <c r="A14" s="1">
        <v>11</v>
      </c>
      <c r="B14" s="10">
        <v>1</v>
      </c>
      <c r="C14" s="10" t="s">
        <v>24</v>
      </c>
      <c r="D14" s="10" t="s">
        <v>11</v>
      </c>
      <c r="E14" s="11" t="s">
        <v>26</v>
      </c>
      <c r="F14" s="11" t="s">
        <v>27</v>
      </c>
      <c r="G14" s="12" t="s">
        <v>45</v>
      </c>
      <c r="H14" s="12" t="s">
        <v>34</v>
      </c>
      <c r="I14" s="12" t="s">
        <v>26</v>
      </c>
      <c r="J14" s="12" t="s">
        <v>27</v>
      </c>
      <c r="K14" s="3"/>
      <c r="L14" s="3"/>
      <c r="M14" s="3"/>
    </row>
    <row r="15" spans="1:13" ht="15.05" customHeight="1">
      <c r="A15" s="1">
        <v>12</v>
      </c>
      <c r="B15" s="10">
        <v>1</v>
      </c>
      <c r="C15" s="10" t="s">
        <v>24</v>
      </c>
      <c r="D15" s="10" t="s">
        <v>11</v>
      </c>
      <c r="E15" s="12" t="s">
        <v>46</v>
      </c>
      <c r="F15" s="12" t="s">
        <v>21</v>
      </c>
      <c r="G15" s="11" t="s">
        <v>47</v>
      </c>
      <c r="H15" s="11" t="s">
        <v>48</v>
      </c>
      <c r="I15" s="12" t="s">
        <v>47</v>
      </c>
      <c r="J15" s="12" t="s">
        <v>48</v>
      </c>
      <c r="K15" s="3"/>
      <c r="L15" s="3"/>
      <c r="M15" s="3"/>
    </row>
    <row r="16" spans="1:13" ht="15.05" customHeight="1">
      <c r="A16" s="1">
        <v>13</v>
      </c>
      <c r="B16" s="10">
        <v>1</v>
      </c>
      <c r="C16" s="10" t="s">
        <v>24</v>
      </c>
      <c r="D16" s="10" t="s">
        <v>11</v>
      </c>
      <c r="E16" s="11" t="s">
        <v>49</v>
      </c>
      <c r="F16" s="11" t="s">
        <v>40</v>
      </c>
      <c r="G16" s="12" t="s">
        <v>50</v>
      </c>
      <c r="H16" s="12" t="s">
        <v>51</v>
      </c>
      <c r="I16" s="12" t="s">
        <v>49</v>
      </c>
      <c r="J16" s="12" t="s">
        <v>40</v>
      </c>
      <c r="K16" s="3"/>
      <c r="L16" s="3"/>
      <c r="M16" s="3"/>
    </row>
    <row r="17" spans="1:13" ht="15.05" customHeight="1">
      <c r="A17" s="1">
        <v>14</v>
      </c>
      <c r="B17" s="10">
        <v>1</v>
      </c>
      <c r="C17" s="10" t="s">
        <v>24</v>
      </c>
      <c r="D17" s="10" t="s">
        <v>11</v>
      </c>
      <c r="E17" s="11" t="s">
        <v>52</v>
      </c>
      <c r="F17" s="11" t="s">
        <v>19</v>
      </c>
      <c r="G17" s="12" t="s">
        <v>53</v>
      </c>
      <c r="H17" s="12" t="s">
        <v>44</v>
      </c>
      <c r="I17" s="12" t="s">
        <v>52</v>
      </c>
      <c r="J17" s="12" t="s">
        <v>19</v>
      </c>
      <c r="K17" s="3"/>
      <c r="L17" s="3"/>
      <c r="M17" s="3"/>
    </row>
    <row r="18" spans="1:13" ht="15.05" customHeight="1">
      <c r="A18" s="1">
        <v>15</v>
      </c>
      <c r="B18" s="10">
        <v>1</v>
      </c>
      <c r="C18" s="10" t="s">
        <v>28</v>
      </c>
      <c r="D18" s="10" t="s">
        <v>11</v>
      </c>
      <c r="E18" s="12" t="s">
        <v>31</v>
      </c>
      <c r="F18" s="12" t="s">
        <v>21</v>
      </c>
      <c r="G18" s="11" t="s">
        <v>54</v>
      </c>
      <c r="H18" s="11" t="s">
        <v>40</v>
      </c>
      <c r="I18" s="12" t="s">
        <v>54</v>
      </c>
      <c r="J18" s="12" t="s">
        <v>40</v>
      </c>
      <c r="K18" s="3"/>
      <c r="L18" s="3"/>
      <c r="M18" s="3"/>
    </row>
    <row r="19" spans="1:13" ht="15.05" customHeight="1">
      <c r="A19" s="1">
        <v>16</v>
      </c>
      <c r="B19" s="10">
        <v>1</v>
      </c>
      <c r="C19" s="10" t="s">
        <v>28</v>
      </c>
      <c r="D19" s="10" t="s">
        <v>11</v>
      </c>
      <c r="E19" s="11" t="s">
        <v>55</v>
      </c>
      <c r="F19" s="11" t="s">
        <v>44</v>
      </c>
      <c r="G19" s="12" t="s">
        <v>56</v>
      </c>
      <c r="H19" s="12" t="s">
        <v>19</v>
      </c>
      <c r="I19" s="12" t="s">
        <v>55</v>
      </c>
      <c r="J19" s="12" t="s">
        <v>44</v>
      </c>
      <c r="K19" s="3"/>
      <c r="L19" s="3"/>
      <c r="M19" s="3"/>
    </row>
    <row r="20" spans="1:13" ht="15.05" customHeight="1">
      <c r="A20" s="1">
        <v>17</v>
      </c>
      <c r="B20" s="10">
        <v>1</v>
      </c>
      <c r="C20" s="10" t="s">
        <v>28</v>
      </c>
      <c r="D20" s="10" t="s">
        <v>11</v>
      </c>
      <c r="E20" s="12" t="s">
        <v>57</v>
      </c>
      <c r="F20" s="12" t="s">
        <v>27</v>
      </c>
      <c r="G20" s="11" t="s">
        <v>58</v>
      </c>
      <c r="H20" s="11" t="s">
        <v>59</v>
      </c>
      <c r="I20" s="12" t="s">
        <v>58</v>
      </c>
      <c r="J20" s="12" t="s">
        <v>59</v>
      </c>
      <c r="K20" s="3"/>
      <c r="L20" s="3"/>
      <c r="M20" s="3"/>
    </row>
    <row r="21" spans="1:13" ht="15.05" customHeight="1">
      <c r="A21" s="1">
        <v>18</v>
      </c>
      <c r="B21" s="10">
        <v>1</v>
      </c>
      <c r="C21" s="10" t="s">
        <v>28</v>
      </c>
      <c r="D21" s="10" t="s">
        <v>11</v>
      </c>
      <c r="E21" s="12" t="s">
        <v>60</v>
      </c>
      <c r="F21" s="12" t="s">
        <v>13</v>
      </c>
      <c r="G21" s="11" t="s">
        <v>61</v>
      </c>
      <c r="H21" s="11" t="s">
        <v>62</v>
      </c>
      <c r="I21" s="12" t="s">
        <v>61</v>
      </c>
      <c r="J21" s="12" t="s">
        <v>62</v>
      </c>
      <c r="K21" s="3"/>
      <c r="L21" s="3"/>
      <c r="M21" s="3"/>
    </row>
    <row r="22" spans="1:13" ht="15.05" customHeight="1">
      <c r="A22" s="1">
        <v>19</v>
      </c>
      <c r="B22" s="10">
        <v>1</v>
      </c>
      <c r="C22" s="10" t="s">
        <v>63</v>
      </c>
      <c r="D22" s="10" t="s">
        <v>11</v>
      </c>
      <c r="E22" s="12" t="s">
        <v>64</v>
      </c>
      <c r="F22" s="12" t="s">
        <v>65</v>
      </c>
      <c r="G22" s="11" t="s">
        <v>66</v>
      </c>
      <c r="H22" s="11" t="s">
        <v>62</v>
      </c>
      <c r="I22" s="12" t="s">
        <v>66</v>
      </c>
      <c r="J22" s="12" t="s">
        <v>62</v>
      </c>
      <c r="K22" s="3"/>
      <c r="L22" s="3"/>
      <c r="M22" s="3"/>
    </row>
    <row r="23" spans="1:13" ht="15.05" customHeight="1">
      <c r="A23" s="1">
        <v>20</v>
      </c>
      <c r="B23" s="10">
        <v>1</v>
      </c>
      <c r="C23" s="10" t="s">
        <v>67</v>
      </c>
      <c r="D23" s="10" t="s">
        <v>11</v>
      </c>
      <c r="E23" s="12" t="s">
        <v>31</v>
      </c>
      <c r="F23" s="12" t="s">
        <v>27</v>
      </c>
      <c r="G23" s="11" t="s">
        <v>68</v>
      </c>
      <c r="H23" s="11" t="s">
        <v>40</v>
      </c>
      <c r="I23" s="12" t="s">
        <v>68</v>
      </c>
      <c r="J23" s="12" t="s">
        <v>40</v>
      </c>
      <c r="K23" s="3"/>
      <c r="L23" s="3"/>
      <c r="M23" s="3"/>
    </row>
    <row r="24" spans="1:13" ht="15.05" customHeight="1">
      <c r="A24" s="1">
        <v>21</v>
      </c>
      <c r="B24" s="10">
        <v>1</v>
      </c>
      <c r="C24" s="10" t="s">
        <v>32</v>
      </c>
      <c r="D24" s="10" t="s">
        <v>11</v>
      </c>
      <c r="E24" s="11" t="s">
        <v>35</v>
      </c>
      <c r="F24" s="11" t="s">
        <v>21</v>
      </c>
      <c r="G24" s="12" t="s">
        <v>69</v>
      </c>
      <c r="H24" s="12" t="s">
        <v>70</v>
      </c>
      <c r="I24" s="12" t="s">
        <v>35</v>
      </c>
      <c r="J24" s="12" t="s">
        <v>21</v>
      </c>
      <c r="K24" s="3"/>
      <c r="L24" s="3"/>
      <c r="M24" s="3"/>
    </row>
    <row r="25" spans="1:13" ht="15.05" customHeight="1">
      <c r="A25" s="1">
        <v>22</v>
      </c>
      <c r="B25" s="10">
        <v>1</v>
      </c>
      <c r="C25" s="10" t="s">
        <v>32</v>
      </c>
      <c r="D25" s="10" t="s">
        <v>11</v>
      </c>
      <c r="E25" s="12" t="s">
        <v>71</v>
      </c>
      <c r="F25" s="12" t="s">
        <v>15</v>
      </c>
      <c r="G25" s="11" t="s">
        <v>72</v>
      </c>
      <c r="H25" s="11" t="s">
        <v>40</v>
      </c>
      <c r="I25" s="12" t="s">
        <v>72</v>
      </c>
      <c r="J25" s="12" t="s">
        <v>40</v>
      </c>
      <c r="K25" s="3"/>
      <c r="L25" s="3"/>
      <c r="M25" s="3"/>
    </row>
    <row r="26" spans="1:13" ht="15.05" customHeight="1">
      <c r="A26" s="1">
        <v>23</v>
      </c>
      <c r="B26" s="10">
        <v>1</v>
      </c>
      <c r="C26" s="10" t="s">
        <v>32</v>
      </c>
      <c r="D26" s="10" t="s">
        <v>11</v>
      </c>
      <c r="E26" s="12" t="s">
        <v>73</v>
      </c>
      <c r="F26" s="12" t="s">
        <v>27</v>
      </c>
      <c r="G26" s="11" t="s">
        <v>74</v>
      </c>
      <c r="H26" s="11" t="s">
        <v>19</v>
      </c>
      <c r="I26" s="12" t="s">
        <v>74</v>
      </c>
      <c r="J26" s="12" t="s">
        <v>19</v>
      </c>
      <c r="K26" s="3"/>
      <c r="L26" s="3"/>
      <c r="M26" s="3"/>
    </row>
    <row r="27" spans="1:13" ht="15.05" customHeight="1">
      <c r="A27" s="1">
        <v>24</v>
      </c>
      <c r="B27" s="10">
        <v>1</v>
      </c>
      <c r="C27" s="10" t="s">
        <v>32</v>
      </c>
      <c r="D27" s="10" t="s">
        <v>11</v>
      </c>
      <c r="E27" s="11" t="s">
        <v>75</v>
      </c>
      <c r="F27" s="11" t="s">
        <v>76</v>
      </c>
      <c r="G27" s="12" t="s">
        <v>77</v>
      </c>
      <c r="H27" s="12" t="s">
        <v>44</v>
      </c>
      <c r="I27" s="12" t="s">
        <v>75</v>
      </c>
      <c r="J27" s="12" t="s">
        <v>76</v>
      </c>
      <c r="K27" s="3"/>
      <c r="L27" s="3"/>
      <c r="M27" s="3"/>
    </row>
    <row r="28" spans="1:13" ht="15.05" customHeight="1">
      <c r="A28" s="1">
        <v>25</v>
      </c>
      <c r="B28" s="10">
        <v>1</v>
      </c>
      <c r="C28" s="10" t="s">
        <v>10</v>
      </c>
      <c r="D28" s="10" t="s">
        <v>78</v>
      </c>
      <c r="E28" s="11" t="s">
        <v>16</v>
      </c>
      <c r="F28" s="11" t="s">
        <v>17</v>
      </c>
      <c r="G28" s="12" t="s">
        <v>38</v>
      </c>
      <c r="H28" s="12" t="s">
        <v>27</v>
      </c>
      <c r="I28" s="12" t="s">
        <v>16</v>
      </c>
      <c r="J28" s="12" t="s">
        <v>17</v>
      </c>
      <c r="K28" s="3"/>
      <c r="L28" s="3"/>
      <c r="M28" s="3"/>
    </row>
    <row r="29" spans="1:13" ht="15.05" customHeight="1">
      <c r="A29" s="1">
        <v>26</v>
      </c>
      <c r="B29" s="10">
        <v>1</v>
      </c>
      <c r="C29" s="10" t="s">
        <v>10</v>
      </c>
      <c r="D29" s="10" t="s">
        <v>78</v>
      </c>
      <c r="E29" s="11" t="s">
        <v>39</v>
      </c>
      <c r="F29" s="11" t="s">
        <v>40</v>
      </c>
      <c r="G29" s="12" t="s">
        <v>22</v>
      </c>
      <c r="H29" s="12" t="s">
        <v>23</v>
      </c>
      <c r="I29" s="12" t="s">
        <v>39</v>
      </c>
      <c r="J29" s="12" t="s">
        <v>40</v>
      </c>
      <c r="K29" s="3"/>
      <c r="L29" s="3"/>
      <c r="M29" s="3"/>
    </row>
    <row r="30" spans="1:13" ht="15.05" customHeight="1">
      <c r="A30" s="1">
        <v>27</v>
      </c>
      <c r="B30" s="10">
        <v>1</v>
      </c>
      <c r="C30" s="10" t="s">
        <v>24</v>
      </c>
      <c r="D30" s="10" t="s">
        <v>78</v>
      </c>
      <c r="E30" s="11" t="s">
        <v>26</v>
      </c>
      <c r="F30" s="11" t="s">
        <v>27</v>
      </c>
      <c r="G30" s="12" t="s">
        <v>47</v>
      </c>
      <c r="H30" s="12" t="s">
        <v>48</v>
      </c>
      <c r="I30" s="12" t="s">
        <v>26</v>
      </c>
      <c r="J30" s="12" t="s">
        <v>27</v>
      </c>
      <c r="K30" s="3"/>
      <c r="L30" s="3"/>
      <c r="M30" s="3"/>
    </row>
    <row r="31" spans="1:13" ht="15.05" customHeight="1">
      <c r="A31" s="1">
        <v>28</v>
      </c>
      <c r="B31" s="10">
        <v>1</v>
      </c>
      <c r="C31" s="10" t="s">
        <v>24</v>
      </c>
      <c r="D31" s="10" t="s">
        <v>78</v>
      </c>
      <c r="E31" s="11" t="s">
        <v>49</v>
      </c>
      <c r="F31" s="11" t="s">
        <v>40</v>
      </c>
      <c r="G31" s="12" t="s">
        <v>52</v>
      </c>
      <c r="H31" s="12" t="s">
        <v>19</v>
      </c>
      <c r="I31" s="12" t="s">
        <v>49</v>
      </c>
      <c r="J31" s="12" t="s">
        <v>40</v>
      </c>
      <c r="K31" s="3"/>
      <c r="L31" s="3"/>
      <c r="M31" s="3"/>
    </row>
    <row r="32" spans="1:13" ht="15.05" customHeight="1">
      <c r="A32" s="1">
        <v>29</v>
      </c>
      <c r="B32" s="10">
        <v>1</v>
      </c>
      <c r="C32" s="10" t="s">
        <v>28</v>
      </c>
      <c r="D32" s="10" t="s">
        <v>78</v>
      </c>
      <c r="E32" s="12" t="s">
        <v>54</v>
      </c>
      <c r="F32" s="12" t="s">
        <v>40</v>
      </c>
      <c r="G32" s="11" t="s">
        <v>55</v>
      </c>
      <c r="H32" s="11" t="s">
        <v>44</v>
      </c>
      <c r="I32" s="12" t="s">
        <v>55</v>
      </c>
      <c r="J32" s="12" t="s">
        <v>44</v>
      </c>
      <c r="K32" s="3"/>
      <c r="L32" s="3"/>
      <c r="M32" s="3"/>
    </row>
    <row r="33" spans="1:13" ht="15.05" customHeight="1">
      <c r="A33" s="1">
        <v>30</v>
      </c>
      <c r="B33" s="10">
        <v>1</v>
      </c>
      <c r="C33" s="10" t="s">
        <v>28</v>
      </c>
      <c r="D33" s="10" t="s">
        <v>78</v>
      </c>
      <c r="E33" s="11" t="s">
        <v>58</v>
      </c>
      <c r="F33" s="11" t="s">
        <v>59</v>
      </c>
      <c r="G33" s="12" t="s">
        <v>61</v>
      </c>
      <c r="H33" s="12" t="s">
        <v>62</v>
      </c>
      <c r="I33" s="12" t="s">
        <v>58</v>
      </c>
      <c r="J33" s="12" t="s">
        <v>59</v>
      </c>
      <c r="K33" s="3"/>
      <c r="L33" s="3"/>
      <c r="M33" s="3"/>
    </row>
    <row r="34" spans="1:13" ht="15.05" customHeight="1">
      <c r="A34" s="1">
        <v>31</v>
      </c>
      <c r="B34" s="10">
        <v>1</v>
      </c>
      <c r="C34" s="10" t="s">
        <v>63</v>
      </c>
      <c r="D34" s="10" t="s">
        <v>78</v>
      </c>
      <c r="E34" s="11" t="s">
        <v>66</v>
      </c>
      <c r="F34" s="11" t="s">
        <v>62</v>
      </c>
      <c r="G34" s="12" t="s">
        <v>79</v>
      </c>
      <c r="H34" s="12" t="s">
        <v>51</v>
      </c>
      <c r="I34" s="12" t="s">
        <v>66</v>
      </c>
      <c r="J34" s="12" t="s">
        <v>62</v>
      </c>
      <c r="K34" s="3"/>
      <c r="L34" s="3"/>
      <c r="M34" s="3"/>
    </row>
    <row r="35" spans="1:13" ht="15.05" customHeight="1">
      <c r="A35" s="1">
        <v>32</v>
      </c>
      <c r="B35" s="10">
        <v>1</v>
      </c>
      <c r="C35" s="10" t="s">
        <v>63</v>
      </c>
      <c r="D35" s="10" t="s">
        <v>78</v>
      </c>
      <c r="E35" s="12" t="s">
        <v>80</v>
      </c>
      <c r="F35" s="12" t="s">
        <v>27</v>
      </c>
      <c r="G35" s="11" t="s">
        <v>81</v>
      </c>
      <c r="H35" s="11" t="s">
        <v>40</v>
      </c>
      <c r="I35" s="12" t="s">
        <v>81</v>
      </c>
      <c r="J35" s="12" t="s">
        <v>40</v>
      </c>
      <c r="K35" s="3"/>
      <c r="L35" s="3"/>
      <c r="M35" s="3"/>
    </row>
    <row r="36" spans="1:13" ht="15.05" customHeight="1">
      <c r="A36" s="1">
        <v>33</v>
      </c>
      <c r="B36" s="10">
        <v>1</v>
      </c>
      <c r="C36" s="10" t="s">
        <v>67</v>
      </c>
      <c r="D36" s="10" t="s">
        <v>78</v>
      </c>
      <c r="E36" s="12" t="s">
        <v>68</v>
      </c>
      <c r="F36" s="12" t="s">
        <v>40</v>
      </c>
      <c r="G36" s="11" t="s">
        <v>31</v>
      </c>
      <c r="H36" s="11" t="s">
        <v>70</v>
      </c>
      <c r="I36" s="12" t="s">
        <v>31</v>
      </c>
      <c r="J36" s="12" t="s">
        <v>70</v>
      </c>
      <c r="K36" s="3"/>
      <c r="L36" s="3"/>
      <c r="M36" s="3"/>
    </row>
    <row r="37" spans="1:13" ht="15.05" customHeight="1">
      <c r="A37" s="1">
        <v>34</v>
      </c>
      <c r="B37" s="10">
        <v>1</v>
      </c>
      <c r="C37" s="10" t="s">
        <v>67</v>
      </c>
      <c r="D37" s="10" t="s">
        <v>78</v>
      </c>
      <c r="E37" s="12" t="s">
        <v>82</v>
      </c>
      <c r="F37" s="12" t="s">
        <v>44</v>
      </c>
      <c r="G37" s="11" t="s">
        <v>83</v>
      </c>
      <c r="H37" s="11" t="s">
        <v>76</v>
      </c>
      <c r="I37" s="12" t="s">
        <v>83</v>
      </c>
      <c r="J37" s="12" t="s">
        <v>76</v>
      </c>
      <c r="K37" s="3"/>
      <c r="L37" s="3"/>
      <c r="M37" s="3"/>
    </row>
    <row r="38" spans="1:13" ht="15.05" customHeight="1">
      <c r="A38" s="1">
        <v>35</v>
      </c>
      <c r="B38" s="10">
        <v>1</v>
      </c>
      <c r="C38" s="10" t="s">
        <v>32</v>
      </c>
      <c r="D38" s="10" t="s">
        <v>78</v>
      </c>
      <c r="E38" s="11" t="s">
        <v>35</v>
      </c>
      <c r="F38" s="11" t="s">
        <v>21</v>
      </c>
      <c r="G38" s="12" t="s">
        <v>72</v>
      </c>
      <c r="H38" s="12" t="s">
        <v>40</v>
      </c>
      <c r="I38" s="12" t="s">
        <v>35</v>
      </c>
      <c r="J38" s="12" t="s">
        <v>21</v>
      </c>
      <c r="K38" s="3"/>
      <c r="L38" s="3"/>
      <c r="M38" s="3"/>
    </row>
    <row r="39" spans="1:13" ht="15.05" customHeight="1">
      <c r="A39" s="1">
        <v>36</v>
      </c>
      <c r="B39" s="10">
        <v>1</v>
      </c>
      <c r="C39" s="10" t="s">
        <v>32</v>
      </c>
      <c r="D39" s="10" t="s">
        <v>78</v>
      </c>
      <c r="E39" s="11" t="s">
        <v>74</v>
      </c>
      <c r="F39" s="11" t="s">
        <v>19</v>
      </c>
      <c r="G39" s="12" t="s">
        <v>75</v>
      </c>
      <c r="H39" s="12" t="s">
        <v>76</v>
      </c>
      <c r="I39" s="12" t="s">
        <v>74</v>
      </c>
      <c r="J39" s="12" t="s">
        <v>19</v>
      </c>
      <c r="K39" s="3"/>
      <c r="L39" s="3"/>
      <c r="M39" s="3"/>
    </row>
    <row r="40" spans="1:13" ht="15.05" customHeight="1">
      <c r="A40" s="1">
        <v>37</v>
      </c>
      <c r="B40" s="10">
        <v>1</v>
      </c>
      <c r="C40" s="10" t="s">
        <v>10</v>
      </c>
      <c r="D40" s="10" t="s">
        <v>84</v>
      </c>
      <c r="E40" s="14" t="s">
        <v>16</v>
      </c>
      <c r="F40" s="14" t="s">
        <v>17</v>
      </c>
      <c r="G40" s="11" t="s">
        <v>39</v>
      </c>
      <c r="H40" s="11" t="s">
        <v>40</v>
      </c>
      <c r="I40" s="15" t="s">
        <v>39</v>
      </c>
      <c r="J40" s="15" t="s">
        <v>40</v>
      </c>
      <c r="K40" s="3"/>
      <c r="L40" s="3"/>
      <c r="M40" s="3"/>
    </row>
    <row r="41" spans="1:13" ht="15.05" customHeight="1">
      <c r="A41" s="1">
        <v>38</v>
      </c>
      <c r="B41" s="10">
        <v>1</v>
      </c>
      <c r="C41" s="10" t="s">
        <v>24</v>
      </c>
      <c r="D41" s="10" t="s">
        <v>84</v>
      </c>
      <c r="E41" s="11" t="s">
        <v>26</v>
      </c>
      <c r="F41" s="11" t="s">
        <v>27</v>
      </c>
      <c r="G41" s="12" t="s">
        <v>49</v>
      </c>
      <c r="H41" s="12" t="s">
        <v>40</v>
      </c>
      <c r="I41" s="15" t="s">
        <v>26</v>
      </c>
      <c r="J41" s="15" t="s">
        <v>27</v>
      </c>
      <c r="K41" s="3"/>
      <c r="L41" s="3"/>
      <c r="M41" s="3"/>
    </row>
    <row r="42" spans="1:13" ht="15.05" customHeight="1">
      <c r="A42" s="1">
        <v>39</v>
      </c>
      <c r="B42" s="10">
        <v>1</v>
      </c>
      <c r="C42" s="10" t="s">
        <v>28</v>
      </c>
      <c r="D42" s="10" t="s">
        <v>84</v>
      </c>
      <c r="E42" s="11" t="s">
        <v>55</v>
      </c>
      <c r="F42" s="11" t="s">
        <v>44</v>
      </c>
      <c r="G42" s="12" t="s">
        <v>58</v>
      </c>
      <c r="H42" s="12" t="s">
        <v>59</v>
      </c>
      <c r="I42" s="12" t="s">
        <v>55</v>
      </c>
      <c r="J42" s="12" t="s">
        <v>44</v>
      </c>
      <c r="K42" s="3"/>
      <c r="L42" s="3"/>
      <c r="M42" s="3"/>
    </row>
    <row r="43" spans="1:13" ht="15.05" customHeight="1">
      <c r="A43" s="1">
        <v>40</v>
      </c>
      <c r="B43" s="10">
        <v>1</v>
      </c>
      <c r="C43" s="10" t="s">
        <v>63</v>
      </c>
      <c r="D43" s="10" t="s">
        <v>84</v>
      </c>
      <c r="E43" s="11" t="s">
        <v>66</v>
      </c>
      <c r="F43" s="11" t="s">
        <v>62</v>
      </c>
      <c r="G43" s="12" t="s">
        <v>81</v>
      </c>
      <c r="H43" s="12" t="s">
        <v>40</v>
      </c>
      <c r="I43" s="12" t="s">
        <v>66</v>
      </c>
      <c r="J43" s="12" t="s">
        <v>62</v>
      </c>
      <c r="K43" s="3"/>
      <c r="L43" s="3"/>
      <c r="M43" s="3"/>
    </row>
    <row r="44" spans="1:13" ht="15.05" customHeight="1">
      <c r="A44" s="1">
        <v>41</v>
      </c>
      <c r="B44" s="10">
        <v>1</v>
      </c>
      <c r="C44" s="10" t="s">
        <v>67</v>
      </c>
      <c r="D44" s="10" t="s">
        <v>84</v>
      </c>
      <c r="E44" s="12" t="s">
        <v>31</v>
      </c>
      <c r="F44" s="12" t="s">
        <v>70</v>
      </c>
      <c r="G44" s="11" t="s">
        <v>83</v>
      </c>
      <c r="H44" s="11" t="s">
        <v>76</v>
      </c>
      <c r="I44" s="12" t="s">
        <v>83</v>
      </c>
      <c r="J44" s="12" t="s">
        <v>76</v>
      </c>
      <c r="K44" s="3"/>
      <c r="L44" s="3"/>
      <c r="M44" s="3"/>
    </row>
    <row r="45" spans="1:13" ht="15.05" customHeight="1">
      <c r="A45" s="1">
        <v>42</v>
      </c>
      <c r="B45" s="10">
        <v>1</v>
      </c>
      <c r="C45" s="10" t="s">
        <v>32</v>
      </c>
      <c r="D45" s="10" t="s">
        <v>84</v>
      </c>
      <c r="E45" s="11" t="s">
        <v>35</v>
      </c>
      <c r="F45" s="11" t="s">
        <v>21</v>
      </c>
      <c r="G45" s="12" t="s">
        <v>74</v>
      </c>
      <c r="H45" s="12" t="s">
        <v>19</v>
      </c>
      <c r="I45" s="12" t="s">
        <v>35</v>
      </c>
      <c r="J45" s="12" t="s">
        <v>21</v>
      </c>
      <c r="K45" s="3"/>
      <c r="L45" s="3"/>
      <c r="M45" s="3"/>
    </row>
    <row r="46" spans="1:13" ht="15.05" customHeight="1">
      <c r="A46" s="16"/>
      <c r="B46" s="17"/>
      <c r="C46" s="17"/>
      <c r="D46" s="17"/>
      <c r="E46" s="3"/>
      <c r="F46" s="3"/>
      <c r="G46" s="3"/>
      <c r="H46" s="3"/>
      <c r="I46" s="3"/>
      <c r="J46" s="3"/>
      <c r="K46" s="3"/>
      <c r="L46" s="3"/>
      <c r="M46" s="3"/>
    </row>
    <row r="47" spans="1:13" ht="15.05" customHeight="1">
      <c r="A47" s="16"/>
      <c r="B47" s="17"/>
      <c r="C47" s="17"/>
      <c r="D47" s="17"/>
      <c r="E47" s="3"/>
      <c r="F47" s="3"/>
      <c r="G47" s="3"/>
      <c r="H47" s="3"/>
      <c r="I47" s="3"/>
      <c r="J47" s="3"/>
      <c r="K47" s="3"/>
      <c r="L47" s="3"/>
      <c r="M47" s="3"/>
    </row>
    <row r="48" spans="1:13" ht="48.8" customHeight="1">
      <c r="A48" s="1"/>
      <c r="B48" s="2"/>
      <c r="C48" s="46" t="s">
        <v>85</v>
      </c>
      <c r="D48" s="47"/>
      <c r="E48" s="47"/>
      <c r="F48" s="47"/>
      <c r="G48" s="47"/>
      <c r="H48" s="47"/>
      <c r="I48" s="47"/>
      <c r="J48" s="47"/>
      <c r="K48" s="3"/>
      <c r="L48" s="3"/>
      <c r="M48" s="3"/>
    </row>
    <row r="49" spans="1:13" ht="15.05" customHeight="1">
      <c r="A49" s="54" t="s">
        <v>1</v>
      </c>
      <c r="B49" s="18"/>
      <c r="C49" s="54" t="s">
        <v>3</v>
      </c>
      <c r="D49" s="54" t="s">
        <v>4</v>
      </c>
      <c r="E49" s="55" t="s">
        <v>5</v>
      </c>
      <c r="F49" s="51"/>
      <c r="G49" s="56" t="s">
        <v>6</v>
      </c>
      <c r="H49" s="51"/>
      <c r="I49" s="53" t="s">
        <v>7</v>
      </c>
      <c r="J49" s="51"/>
      <c r="K49" s="3"/>
      <c r="L49" s="3"/>
      <c r="M49" s="3"/>
    </row>
    <row r="50" spans="1:13" ht="15.05" customHeight="1">
      <c r="A50" s="49"/>
      <c r="B50" s="18"/>
      <c r="C50" s="49"/>
      <c r="D50" s="49"/>
      <c r="E50" s="19" t="s">
        <v>8</v>
      </c>
      <c r="F50" s="19" t="s">
        <v>9</v>
      </c>
      <c r="G50" s="20" t="s">
        <v>8</v>
      </c>
      <c r="H50" s="20" t="s">
        <v>9</v>
      </c>
      <c r="I50" s="7" t="s">
        <v>8</v>
      </c>
      <c r="J50" s="21" t="s">
        <v>9</v>
      </c>
      <c r="K50" s="22"/>
      <c r="L50" s="22"/>
      <c r="M50" s="22"/>
    </row>
    <row r="51" spans="1:13" ht="15.05" customHeight="1">
      <c r="A51" s="1">
        <v>1</v>
      </c>
      <c r="B51" s="10">
        <v>2</v>
      </c>
      <c r="C51" s="10" t="s">
        <v>86</v>
      </c>
      <c r="D51" s="10" t="s">
        <v>11</v>
      </c>
      <c r="E51" s="11" t="s">
        <v>87</v>
      </c>
      <c r="F51" s="11" t="s">
        <v>88</v>
      </c>
      <c r="G51" s="12" t="s">
        <v>89</v>
      </c>
      <c r="H51" s="12" t="s">
        <v>90</v>
      </c>
      <c r="I51" s="13" t="s">
        <v>87</v>
      </c>
      <c r="J51" s="13" t="s">
        <v>88</v>
      </c>
      <c r="K51" s="3"/>
      <c r="L51" s="3"/>
      <c r="M51" s="3"/>
    </row>
    <row r="52" spans="1:13" ht="15.05" customHeight="1">
      <c r="A52" s="1">
        <v>2</v>
      </c>
      <c r="B52" s="10">
        <v>2</v>
      </c>
      <c r="C52" s="10" t="s">
        <v>86</v>
      </c>
      <c r="D52" s="10" t="s">
        <v>11</v>
      </c>
      <c r="E52" s="12" t="s">
        <v>91</v>
      </c>
      <c r="F52" s="12" t="s">
        <v>21</v>
      </c>
      <c r="G52" s="11" t="s">
        <v>92</v>
      </c>
      <c r="H52" s="11" t="s">
        <v>27</v>
      </c>
      <c r="I52" s="12" t="s">
        <v>92</v>
      </c>
      <c r="J52" s="12" t="s">
        <v>27</v>
      </c>
      <c r="K52" s="3"/>
      <c r="L52" s="3"/>
      <c r="M52" s="3"/>
    </row>
    <row r="53" spans="1:13" ht="15.05" customHeight="1">
      <c r="A53" s="1">
        <v>3</v>
      </c>
      <c r="B53" s="10">
        <v>2</v>
      </c>
      <c r="C53" s="10" t="s">
        <v>86</v>
      </c>
      <c r="D53" s="10" t="s">
        <v>11</v>
      </c>
      <c r="E53" s="11" t="s">
        <v>93</v>
      </c>
      <c r="F53" s="11" t="s">
        <v>70</v>
      </c>
      <c r="G53" s="12" t="s">
        <v>94</v>
      </c>
      <c r="H53" s="12" t="s">
        <v>34</v>
      </c>
      <c r="I53" s="12" t="str">
        <f t="shared" ref="I53:J53" si="0">E53</f>
        <v xml:space="preserve"> Ngọc Giàu</v>
      </c>
      <c r="J53" s="12" t="str">
        <f t="shared" si="0"/>
        <v>Thị xã LaGi</v>
      </c>
      <c r="K53" s="3"/>
      <c r="L53" s="3"/>
      <c r="M53" s="3"/>
    </row>
    <row r="54" spans="1:13" ht="15.05" customHeight="1">
      <c r="A54" s="1">
        <v>4</v>
      </c>
      <c r="B54" s="10">
        <v>2</v>
      </c>
      <c r="C54" s="10" t="s">
        <v>86</v>
      </c>
      <c r="D54" s="10" t="s">
        <v>11</v>
      </c>
      <c r="E54" s="11" t="s">
        <v>95</v>
      </c>
      <c r="F54" s="11" t="s">
        <v>76</v>
      </c>
      <c r="G54" s="12" t="s">
        <v>96</v>
      </c>
      <c r="H54" s="12" t="s">
        <v>19</v>
      </c>
      <c r="I54" s="13" t="s">
        <v>95</v>
      </c>
      <c r="J54" s="13" t="s">
        <v>76</v>
      </c>
      <c r="K54" s="3"/>
      <c r="L54" s="3"/>
      <c r="M54" s="3"/>
    </row>
    <row r="55" spans="1:13" ht="15.05" customHeight="1">
      <c r="A55" s="1">
        <v>5</v>
      </c>
      <c r="B55" s="10">
        <v>2</v>
      </c>
      <c r="C55" s="10" t="s">
        <v>86</v>
      </c>
      <c r="D55" s="10" t="s">
        <v>11</v>
      </c>
      <c r="E55" s="12" t="s">
        <v>97</v>
      </c>
      <c r="F55" s="12" t="s">
        <v>13</v>
      </c>
      <c r="G55" s="11" t="s">
        <v>98</v>
      </c>
      <c r="H55" s="11" t="s">
        <v>42</v>
      </c>
      <c r="I55" s="12" t="s">
        <v>98</v>
      </c>
      <c r="J55" s="12" t="s">
        <v>42</v>
      </c>
      <c r="K55" s="3"/>
      <c r="L55" s="3"/>
      <c r="M55" s="3"/>
    </row>
    <row r="56" spans="1:13" ht="15.05" customHeight="1">
      <c r="A56" s="1">
        <v>6</v>
      </c>
      <c r="B56" s="10">
        <v>2</v>
      </c>
      <c r="C56" s="10" t="s">
        <v>86</v>
      </c>
      <c r="D56" s="10" t="s">
        <v>11</v>
      </c>
      <c r="E56" s="11" t="s">
        <v>99</v>
      </c>
      <c r="F56" s="11" t="s">
        <v>40</v>
      </c>
      <c r="G56" s="12" t="s">
        <v>100</v>
      </c>
      <c r="H56" s="12" t="s">
        <v>101</v>
      </c>
      <c r="I56" s="12" t="s">
        <v>99</v>
      </c>
      <c r="J56" s="12" t="s">
        <v>40</v>
      </c>
      <c r="K56" s="3"/>
      <c r="L56" s="3"/>
      <c r="M56" s="3"/>
    </row>
    <row r="57" spans="1:13" ht="15.05" customHeight="1">
      <c r="A57" s="1">
        <v>7</v>
      </c>
      <c r="B57" s="10">
        <v>2</v>
      </c>
      <c r="C57" s="10" t="s">
        <v>102</v>
      </c>
      <c r="D57" s="10" t="s">
        <v>11</v>
      </c>
      <c r="E57" s="11" t="s">
        <v>103</v>
      </c>
      <c r="F57" s="11" t="s">
        <v>70</v>
      </c>
      <c r="G57" s="12" t="s">
        <v>104</v>
      </c>
      <c r="H57" s="12" t="s">
        <v>62</v>
      </c>
      <c r="I57" s="12" t="s">
        <v>103</v>
      </c>
      <c r="J57" s="12" t="s">
        <v>70</v>
      </c>
      <c r="K57" s="3"/>
      <c r="L57" s="3"/>
      <c r="M57" s="3"/>
    </row>
    <row r="58" spans="1:13" ht="15.05" customHeight="1">
      <c r="A58" s="1">
        <v>8</v>
      </c>
      <c r="B58" s="10">
        <v>2</v>
      </c>
      <c r="C58" s="10" t="s">
        <v>102</v>
      </c>
      <c r="D58" s="10" t="s">
        <v>11</v>
      </c>
      <c r="E58" s="12" t="s">
        <v>105</v>
      </c>
      <c r="F58" s="12" t="s">
        <v>48</v>
      </c>
      <c r="G58" s="11" t="s">
        <v>106</v>
      </c>
      <c r="H58" s="11" t="s">
        <v>51</v>
      </c>
      <c r="I58" s="12" t="s">
        <v>107</v>
      </c>
      <c r="J58" s="12" t="s">
        <v>51</v>
      </c>
      <c r="K58" s="3"/>
      <c r="L58" s="3"/>
      <c r="M58" s="3"/>
    </row>
    <row r="59" spans="1:13" ht="15.05" customHeight="1">
      <c r="A59" s="1">
        <v>9</v>
      </c>
      <c r="B59" s="10">
        <v>2</v>
      </c>
      <c r="C59" s="10" t="s">
        <v>102</v>
      </c>
      <c r="D59" s="10" t="s">
        <v>11</v>
      </c>
      <c r="E59" s="11" t="s">
        <v>108</v>
      </c>
      <c r="F59" s="11" t="s">
        <v>34</v>
      </c>
      <c r="G59" s="12" t="s">
        <v>109</v>
      </c>
      <c r="H59" s="12" t="s">
        <v>17</v>
      </c>
      <c r="I59" s="12" t="s">
        <v>108</v>
      </c>
      <c r="J59" s="12" t="s">
        <v>34</v>
      </c>
      <c r="K59" s="3"/>
      <c r="L59" s="3"/>
      <c r="M59" s="3"/>
    </row>
    <row r="60" spans="1:13" ht="15.05" customHeight="1">
      <c r="A60" s="1">
        <v>10</v>
      </c>
      <c r="B60" s="10">
        <v>2</v>
      </c>
      <c r="C60" s="10" t="s">
        <v>102</v>
      </c>
      <c r="D60" s="10" t="s">
        <v>11</v>
      </c>
      <c r="E60" s="11" t="s">
        <v>110</v>
      </c>
      <c r="F60" s="11" t="s">
        <v>59</v>
      </c>
      <c r="G60" s="12" t="s">
        <v>111</v>
      </c>
      <c r="H60" s="12" t="s">
        <v>27</v>
      </c>
      <c r="I60" s="12" t="s">
        <v>110</v>
      </c>
      <c r="J60" s="12" t="s">
        <v>59</v>
      </c>
      <c r="K60" s="3"/>
      <c r="L60" s="3"/>
      <c r="M60" s="3"/>
    </row>
    <row r="61" spans="1:13" ht="15.05" customHeight="1">
      <c r="A61" s="1">
        <v>11</v>
      </c>
      <c r="B61" s="10">
        <v>2</v>
      </c>
      <c r="C61" s="10" t="s">
        <v>112</v>
      </c>
      <c r="D61" s="10" t="s">
        <v>11</v>
      </c>
      <c r="E61" s="12" t="s">
        <v>113</v>
      </c>
      <c r="F61" s="12" t="s">
        <v>19</v>
      </c>
      <c r="G61" s="11" t="s">
        <v>114</v>
      </c>
      <c r="H61" s="11" t="s">
        <v>23</v>
      </c>
      <c r="I61" s="12" t="s">
        <v>114</v>
      </c>
      <c r="J61" s="12" t="s">
        <v>23</v>
      </c>
      <c r="K61" s="3"/>
      <c r="L61" s="3"/>
      <c r="M61" s="3"/>
    </row>
    <row r="62" spans="1:13" ht="15.05" customHeight="1">
      <c r="A62" s="1">
        <v>12</v>
      </c>
      <c r="B62" s="10">
        <v>2</v>
      </c>
      <c r="C62" s="10" t="s">
        <v>112</v>
      </c>
      <c r="D62" s="10" t="s">
        <v>11</v>
      </c>
      <c r="E62" s="12" t="s">
        <v>115</v>
      </c>
      <c r="F62" s="12" t="s">
        <v>62</v>
      </c>
      <c r="G62" s="11" t="s">
        <v>116</v>
      </c>
      <c r="H62" s="11" t="s">
        <v>48</v>
      </c>
      <c r="I62" s="12" t="s">
        <v>116</v>
      </c>
      <c r="J62" s="12" t="s">
        <v>48</v>
      </c>
      <c r="K62" s="3"/>
      <c r="L62" s="3"/>
      <c r="M62" s="3"/>
    </row>
    <row r="63" spans="1:13" ht="15.05" customHeight="1">
      <c r="A63" s="1">
        <v>13</v>
      </c>
      <c r="B63" s="10">
        <v>2</v>
      </c>
      <c r="C63" s="10" t="s">
        <v>112</v>
      </c>
      <c r="D63" s="10" t="s">
        <v>11</v>
      </c>
      <c r="E63" s="12" t="s">
        <v>117</v>
      </c>
      <c r="F63" s="12" t="s">
        <v>51</v>
      </c>
      <c r="G63" s="11" t="s">
        <v>118</v>
      </c>
      <c r="H63" s="11" t="s">
        <v>15</v>
      </c>
      <c r="I63" s="12" t="s">
        <v>118</v>
      </c>
      <c r="J63" s="12" t="s">
        <v>15</v>
      </c>
      <c r="K63" s="3"/>
      <c r="L63" s="3"/>
      <c r="M63" s="3"/>
    </row>
    <row r="64" spans="1:13" ht="15.05" customHeight="1">
      <c r="A64" s="1">
        <v>14</v>
      </c>
      <c r="B64" s="10">
        <v>2</v>
      </c>
      <c r="C64" s="10" t="s">
        <v>112</v>
      </c>
      <c r="D64" s="10" t="s">
        <v>11</v>
      </c>
      <c r="E64" s="11" t="s">
        <v>119</v>
      </c>
      <c r="F64" s="11" t="s">
        <v>44</v>
      </c>
      <c r="G64" s="12" t="s">
        <v>120</v>
      </c>
      <c r="H64" s="12" t="s">
        <v>17</v>
      </c>
      <c r="I64" s="12" t="s">
        <v>119</v>
      </c>
      <c r="J64" s="12" t="s">
        <v>44</v>
      </c>
      <c r="K64" s="3"/>
      <c r="L64" s="3"/>
      <c r="M64" s="3"/>
    </row>
    <row r="65" spans="1:13" ht="15.05" customHeight="1">
      <c r="A65" s="1">
        <v>15</v>
      </c>
      <c r="B65" s="10">
        <v>2</v>
      </c>
      <c r="C65" s="10" t="s">
        <v>112</v>
      </c>
      <c r="D65" s="10" t="s">
        <v>11</v>
      </c>
      <c r="E65" s="12" t="s">
        <v>121</v>
      </c>
      <c r="F65" s="12" t="s">
        <v>27</v>
      </c>
      <c r="G65" s="11" t="s">
        <v>122</v>
      </c>
      <c r="H65" s="11" t="s">
        <v>42</v>
      </c>
      <c r="I65" s="12" t="s">
        <v>122</v>
      </c>
      <c r="J65" s="12" t="s">
        <v>42</v>
      </c>
      <c r="K65" s="3"/>
      <c r="L65" s="3"/>
      <c r="M65" s="3"/>
    </row>
    <row r="66" spans="1:13" ht="15.05" customHeight="1">
      <c r="A66" s="1">
        <v>16</v>
      </c>
      <c r="B66" s="10">
        <v>2</v>
      </c>
      <c r="C66" s="10" t="s">
        <v>123</v>
      </c>
      <c r="D66" s="10" t="s">
        <v>11</v>
      </c>
      <c r="E66" s="11" t="s">
        <v>124</v>
      </c>
      <c r="F66" s="11" t="s">
        <v>101</v>
      </c>
      <c r="G66" s="12" t="s">
        <v>125</v>
      </c>
      <c r="H66" s="12" t="s">
        <v>34</v>
      </c>
      <c r="I66" s="12" t="s">
        <v>126</v>
      </c>
      <c r="J66" s="12" t="s">
        <v>101</v>
      </c>
      <c r="K66" s="3"/>
      <c r="L66" s="3"/>
      <c r="M66" s="3"/>
    </row>
    <row r="67" spans="1:13" ht="15.05" customHeight="1">
      <c r="A67" s="1">
        <v>17</v>
      </c>
      <c r="B67" s="10">
        <v>2</v>
      </c>
      <c r="C67" s="10" t="s">
        <v>127</v>
      </c>
      <c r="D67" s="10" t="s">
        <v>11</v>
      </c>
      <c r="E67" s="11" t="s">
        <v>128</v>
      </c>
      <c r="F67" s="11" t="s">
        <v>40</v>
      </c>
      <c r="G67" s="12" t="s">
        <v>129</v>
      </c>
      <c r="H67" s="12" t="s">
        <v>21</v>
      </c>
      <c r="I67" s="12" t="s">
        <v>128</v>
      </c>
      <c r="J67" s="12" t="s">
        <v>40</v>
      </c>
      <c r="K67" s="3"/>
      <c r="L67" s="3"/>
      <c r="M67" s="3"/>
    </row>
    <row r="68" spans="1:13" ht="15.05" customHeight="1">
      <c r="A68" s="1">
        <v>18</v>
      </c>
      <c r="B68" s="10">
        <v>2</v>
      </c>
      <c r="C68" s="10" t="s">
        <v>130</v>
      </c>
      <c r="D68" s="10" t="s">
        <v>11</v>
      </c>
      <c r="E68" s="11" t="s">
        <v>131</v>
      </c>
      <c r="F68" s="11" t="s">
        <v>17</v>
      </c>
      <c r="G68" s="12" t="s">
        <v>132</v>
      </c>
      <c r="H68" s="12" t="s">
        <v>34</v>
      </c>
      <c r="I68" s="12" t="s">
        <v>131</v>
      </c>
      <c r="J68" s="12" t="s">
        <v>17</v>
      </c>
      <c r="K68" s="3"/>
      <c r="L68" s="3"/>
      <c r="M68" s="3"/>
    </row>
    <row r="69" spans="1:13" ht="15.05" customHeight="1">
      <c r="A69" s="1">
        <v>19</v>
      </c>
      <c r="B69" s="10">
        <v>2</v>
      </c>
      <c r="C69" s="10" t="s">
        <v>86</v>
      </c>
      <c r="D69" s="10" t="s">
        <v>11</v>
      </c>
      <c r="E69" s="11" t="s">
        <v>133</v>
      </c>
      <c r="F69" s="11" t="s">
        <v>88</v>
      </c>
      <c r="G69" s="12" t="s">
        <v>134</v>
      </c>
      <c r="H69" s="12" t="s">
        <v>27</v>
      </c>
      <c r="I69" s="13" t="s">
        <v>87</v>
      </c>
      <c r="J69" s="13" t="s">
        <v>88</v>
      </c>
      <c r="K69" s="3"/>
      <c r="L69" s="3"/>
      <c r="M69" s="3"/>
    </row>
    <row r="70" spans="1:13" ht="15.05" customHeight="1">
      <c r="A70" s="1">
        <v>20</v>
      </c>
      <c r="B70" s="10">
        <v>2</v>
      </c>
      <c r="C70" s="10" t="s">
        <v>86</v>
      </c>
      <c r="D70" s="10" t="s">
        <v>11</v>
      </c>
      <c r="E70" s="11" t="s">
        <v>93</v>
      </c>
      <c r="F70" s="11" t="s">
        <v>70</v>
      </c>
      <c r="G70" s="12" t="s">
        <v>135</v>
      </c>
      <c r="H70" s="12" t="s">
        <v>23</v>
      </c>
      <c r="I70" s="13" t="s">
        <v>93</v>
      </c>
      <c r="J70" s="13" t="s">
        <v>70</v>
      </c>
      <c r="K70" s="3"/>
      <c r="L70" s="3"/>
      <c r="M70" s="3"/>
    </row>
    <row r="71" spans="1:13" ht="15.05" customHeight="1">
      <c r="A71" s="1">
        <v>21</v>
      </c>
      <c r="B71" s="10">
        <v>2</v>
      </c>
      <c r="C71" s="10" t="s">
        <v>86</v>
      </c>
      <c r="D71" s="10" t="s">
        <v>11</v>
      </c>
      <c r="E71" s="11" t="s">
        <v>136</v>
      </c>
      <c r="F71" s="11" t="s">
        <v>15</v>
      </c>
      <c r="G71" s="13" t="s">
        <v>95</v>
      </c>
      <c r="H71" s="13" t="s">
        <v>76</v>
      </c>
      <c r="I71" s="12" t="s">
        <v>136</v>
      </c>
      <c r="J71" s="12" t="s">
        <v>15</v>
      </c>
      <c r="K71" s="3"/>
      <c r="L71" s="3"/>
      <c r="M71" s="3"/>
    </row>
    <row r="72" spans="1:13" ht="15.05" customHeight="1">
      <c r="A72" s="1">
        <v>22</v>
      </c>
      <c r="B72" s="10">
        <v>2</v>
      </c>
      <c r="C72" s="10" t="s">
        <v>86</v>
      </c>
      <c r="D72" s="10" t="s">
        <v>11</v>
      </c>
      <c r="E72" s="12" t="s">
        <v>98</v>
      </c>
      <c r="F72" s="12" t="s">
        <v>42</v>
      </c>
      <c r="G72" s="11" t="s">
        <v>99</v>
      </c>
      <c r="H72" s="11" t="s">
        <v>40</v>
      </c>
      <c r="I72" s="12" t="s">
        <v>99</v>
      </c>
      <c r="J72" s="12" t="s">
        <v>40</v>
      </c>
      <c r="K72" s="3"/>
      <c r="L72" s="3"/>
      <c r="M72" s="3"/>
    </row>
    <row r="73" spans="1:13" ht="15.05" customHeight="1">
      <c r="A73" s="1">
        <v>23</v>
      </c>
      <c r="B73" s="10">
        <v>2</v>
      </c>
      <c r="C73" s="10" t="s">
        <v>102</v>
      </c>
      <c r="D73" s="10" t="s">
        <v>11</v>
      </c>
      <c r="E73" s="11" t="s">
        <v>103</v>
      </c>
      <c r="F73" s="11" t="s">
        <v>70</v>
      </c>
      <c r="G73" s="12" t="s">
        <v>107</v>
      </c>
      <c r="H73" s="12" t="s">
        <v>51</v>
      </c>
      <c r="I73" s="12" t="s">
        <v>103</v>
      </c>
      <c r="J73" s="12" t="s">
        <v>70</v>
      </c>
      <c r="K73" s="3"/>
      <c r="L73" s="3"/>
      <c r="M73" s="3"/>
    </row>
    <row r="74" spans="1:13" ht="15.05" customHeight="1">
      <c r="A74" s="1">
        <v>24</v>
      </c>
      <c r="B74" s="10">
        <v>2</v>
      </c>
      <c r="C74" s="10" t="s">
        <v>102</v>
      </c>
      <c r="D74" s="10" t="s">
        <v>11</v>
      </c>
      <c r="E74" s="12" t="s">
        <v>137</v>
      </c>
      <c r="F74" s="12" t="s">
        <v>101</v>
      </c>
      <c r="G74" s="11" t="s">
        <v>138</v>
      </c>
      <c r="H74" s="11" t="s">
        <v>15</v>
      </c>
      <c r="I74" s="12" t="s">
        <v>138</v>
      </c>
      <c r="J74" s="12" t="s">
        <v>15</v>
      </c>
      <c r="K74" s="3"/>
      <c r="L74" s="3"/>
      <c r="M74" s="3"/>
    </row>
    <row r="75" spans="1:13" ht="15.05" customHeight="1">
      <c r="A75" s="1">
        <v>25</v>
      </c>
      <c r="B75" s="10">
        <v>2</v>
      </c>
      <c r="C75" s="10" t="s">
        <v>102</v>
      </c>
      <c r="D75" s="10" t="s">
        <v>11</v>
      </c>
      <c r="E75" s="12" t="s">
        <v>139</v>
      </c>
      <c r="F75" s="12" t="s">
        <v>19</v>
      </c>
      <c r="G75" s="11" t="s">
        <v>140</v>
      </c>
      <c r="H75" s="11" t="s">
        <v>40</v>
      </c>
      <c r="I75" s="12" t="s">
        <v>140</v>
      </c>
      <c r="J75" s="12" t="s">
        <v>40</v>
      </c>
      <c r="K75" s="3"/>
      <c r="L75" s="3"/>
      <c r="M75" s="3"/>
    </row>
    <row r="76" spans="1:13" ht="15.05" customHeight="1">
      <c r="A76" s="1">
        <v>26</v>
      </c>
      <c r="B76" s="10">
        <v>2</v>
      </c>
      <c r="C76" s="10" t="s">
        <v>102</v>
      </c>
      <c r="D76" s="10" t="s">
        <v>11</v>
      </c>
      <c r="E76" s="12" t="s">
        <v>108</v>
      </c>
      <c r="F76" s="12" t="s">
        <v>34</v>
      </c>
      <c r="G76" s="11" t="s">
        <v>110</v>
      </c>
      <c r="H76" s="11" t="s">
        <v>59</v>
      </c>
      <c r="I76" s="12" t="s">
        <v>110</v>
      </c>
      <c r="J76" s="12" t="s">
        <v>59</v>
      </c>
      <c r="K76" s="3"/>
      <c r="L76" s="3"/>
      <c r="M76" s="3"/>
    </row>
    <row r="77" spans="1:13" ht="15.05" customHeight="1">
      <c r="A77" s="1">
        <v>27</v>
      </c>
      <c r="B77" s="10">
        <v>2</v>
      </c>
      <c r="C77" s="10" t="s">
        <v>112</v>
      </c>
      <c r="D77" s="10" t="s">
        <v>11</v>
      </c>
      <c r="E77" s="12" t="s">
        <v>114</v>
      </c>
      <c r="F77" s="12" t="s">
        <v>23</v>
      </c>
      <c r="G77" s="11" t="s">
        <v>116</v>
      </c>
      <c r="H77" s="11" t="s">
        <v>48</v>
      </c>
      <c r="I77" s="12" t="s">
        <v>116</v>
      </c>
      <c r="J77" s="12" t="s">
        <v>48</v>
      </c>
      <c r="K77" s="3"/>
      <c r="L77" s="3"/>
      <c r="M77" s="3"/>
    </row>
    <row r="78" spans="1:13" ht="15.05" customHeight="1">
      <c r="A78" s="1">
        <v>28</v>
      </c>
      <c r="B78" s="10">
        <v>2</v>
      </c>
      <c r="C78" s="10" t="s">
        <v>112</v>
      </c>
      <c r="D78" s="10" t="s">
        <v>11</v>
      </c>
      <c r="E78" s="11" t="s">
        <v>141</v>
      </c>
      <c r="F78" s="11" t="s">
        <v>15</v>
      </c>
      <c r="G78" s="12" t="s">
        <v>142</v>
      </c>
      <c r="H78" s="12" t="s">
        <v>40</v>
      </c>
      <c r="I78" s="12" t="s">
        <v>118</v>
      </c>
      <c r="J78" s="12" t="s">
        <v>15</v>
      </c>
      <c r="K78" s="3"/>
      <c r="L78" s="3"/>
      <c r="M78" s="3"/>
    </row>
    <row r="79" spans="1:13" ht="15.05" customHeight="1">
      <c r="A79" s="1">
        <v>29</v>
      </c>
      <c r="B79" s="10">
        <v>2</v>
      </c>
      <c r="C79" s="10" t="s">
        <v>112</v>
      </c>
      <c r="D79" s="10" t="s">
        <v>11</v>
      </c>
      <c r="E79" s="12" t="s">
        <v>143</v>
      </c>
      <c r="F79" s="12" t="s">
        <v>34</v>
      </c>
      <c r="G79" s="11" t="s">
        <v>144</v>
      </c>
      <c r="H79" s="11" t="s">
        <v>101</v>
      </c>
      <c r="I79" s="12" t="s">
        <v>87</v>
      </c>
      <c r="J79" s="12" t="s">
        <v>101</v>
      </c>
      <c r="K79" s="3"/>
      <c r="L79" s="3"/>
      <c r="M79" s="3"/>
    </row>
    <row r="80" spans="1:13" ht="15.05" customHeight="1">
      <c r="A80" s="1">
        <v>30</v>
      </c>
      <c r="B80" s="10">
        <v>2</v>
      </c>
      <c r="C80" s="10" t="s">
        <v>112</v>
      </c>
      <c r="D80" s="10" t="s">
        <v>11</v>
      </c>
      <c r="E80" s="12" t="s">
        <v>119</v>
      </c>
      <c r="F80" s="12" t="s">
        <v>44</v>
      </c>
      <c r="G80" s="11" t="s">
        <v>122</v>
      </c>
      <c r="H80" s="11" t="s">
        <v>42</v>
      </c>
      <c r="I80" s="12" t="s">
        <v>122</v>
      </c>
      <c r="J80" s="12" t="s">
        <v>42</v>
      </c>
      <c r="K80" s="3"/>
      <c r="L80" s="3"/>
      <c r="M80" s="3"/>
    </row>
    <row r="81" spans="1:13" ht="15.05" customHeight="1">
      <c r="A81" s="1">
        <v>31</v>
      </c>
      <c r="B81" s="10">
        <v>2</v>
      </c>
      <c r="C81" s="10" t="s">
        <v>123</v>
      </c>
      <c r="D81" s="10" t="s">
        <v>11</v>
      </c>
      <c r="E81" s="11" t="s">
        <v>145</v>
      </c>
      <c r="F81" s="11" t="s">
        <v>101</v>
      </c>
      <c r="G81" s="12" t="s">
        <v>146</v>
      </c>
      <c r="H81" s="12" t="s">
        <v>21</v>
      </c>
      <c r="I81" s="12" t="s">
        <v>126</v>
      </c>
      <c r="J81" s="12" t="s">
        <v>101</v>
      </c>
      <c r="K81" s="3"/>
      <c r="L81" s="3"/>
      <c r="M81" s="3"/>
    </row>
    <row r="82" spans="1:13" ht="15.05" customHeight="1">
      <c r="A82" s="1">
        <v>32</v>
      </c>
      <c r="B82" s="10">
        <v>2</v>
      </c>
      <c r="C82" s="10" t="s">
        <v>123</v>
      </c>
      <c r="D82" s="10" t="s">
        <v>11</v>
      </c>
      <c r="E82" s="12" t="s">
        <v>147</v>
      </c>
      <c r="F82" s="12" t="s">
        <v>19</v>
      </c>
      <c r="G82" s="11" t="s">
        <v>148</v>
      </c>
      <c r="H82" s="11" t="s">
        <v>44</v>
      </c>
      <c r="I82" s="12" t="s">
        <v>148</v>
      </c>
      <c r="J82" s="12" t="s">
        <v>44</v>
      </c>
      <c r="K82" s="3"/>
      <c r="L82" s="3"/>
      <c r="M82" s="3"/>
    </row>
    <row r="83" spans="1:13" ht="15.05" customHeight="1">
      <c r="A83" s="1">
        <v>33</v>
      </c>
      <c r="B83" s="10">
        <v>2</v>
      </c>
      <c r="C83" s="10" t="s">
        <v>123</v>
      </c>
      <c r="D83" s="10" t="s">
        <v>11</v>
      </c>
      <c r="E83" s="11" t="s">
        <v>149</v>
      </c>
      <c r="F83" s="11" t="s">
        <v>40</v>
      </c>
      <c r="G83" s="12" t="s">
        <v>150</v>
      </c>
      <c r="H83" s="12" t="s">
        <v>51</v>
      </c>
      <c r="I83" s="12" t="s">
        <v>149</v>
      </c>
      <c r="J83" s="12" t="s">
        <v>40</v>
      </c>
      <c r="K83" s="3"/>
      <c r="L83" s="3"/>
      <c r="M83" s="3"/>
    </row>
    <row r="84" spans="1:13" ht="15.05" customHeight="1">
      <c r="A84" s="1">
        <v>34</v>
      </c>
      <c r="B84" s="10">
        <v>2</v>
      </c>
      <c r="C84" s="10" t="s">
        <v>123</v>
      </c>
      <c r="D84" s="10" t="s">
        <v>11</v>
      </c>
      <c r="E84" s="11" t="s">
        <v>151</v>
      </c>
      <c r="F84" s="11" t="s">
        <v>15</v>
      </c>
      <c r="G84" s="12" t="s">
        <v>140</v>
      </c>
      <c r="H84" s="12" t="s">
        <v>48</v>
      </c>
      <c r="I84" s="12" t="s">
        <v>151</v>
      </c>
      <c r="J84" s="12" t="s">
        <v>15</v>
      </c>
      <c r="K84" s="3"/>
      <c r="L84" s="3"/>
      <c r="M84" s="3"/>
    </row>
    <row r="85" spans="1:13" ht="15.05" customHeight="1">
      <c r="A85" s="1">
        <v>35</v>
      </c>
      <c r="B85" s="10">
        <v>2</v>
      </c>
      <c r="C85" s="10" t="s">
        <v>127</v>
      </c>
      <c r="D85" s="10" t="s">
        <v>11</v>
      </c>
      <c r="E85" s="11" t="s">
        <v>128</v>
      </c>
      <c r="F85" s="11" t="s">
        <v>40</v>
      </c>
      <c r="G85" s="12" t="s">
        <v>152</v>
      </c>
      <c r="H85" s="12" t="s">
        <v>15</v>
      </c>
      <c r="I85" s="12" t="s">
        <v>128</v>
      </c>
      <c r="J85" s="12" t="s">
        <v>40</v>
      </c>
      <c r="K85" s="3"/>
      <c r="L85" s="3"/>
      <c r="M85" s="3"/>
    </row>
    <row r="86" spans="1:13" ht="15.05" customHeight="1">
      <c r="A86" s="1">
        <v>36</v>
      </c>
      <c r="B86" s="10">
        <v>2</v>
      </c>
      <c r="C86" s="10" t="s">
        <v>127</v>
      </c>
      <c r="D86" s="10" t="s">
        <v>11</v>
      </c>
      <c r="E86" s="11" t="s">
        <v>153</v>
      </c>
      <c r="F86" s="11" t="s">
        <v>19</v>
      </c>
      <c r="G86" s="12" t="s">
        <v>154</v>
      </c>
      <c r="H86" s="12" t="s">
        <v>42</v>
      </c>
      <c r="I86" s="12" t="s">
        <v>153</v>
      </c>
      <c r="J86" s="12" t="s">
        <v>19</v>
      </c>
      <c r="K86" s="3"/>
      <c r="L86" s="3"/>
      <c r="M86" s="3"/>
    </row>
    <row r="87" spans="1:13" ht="15.05" customHeight="1">
      <c r="A87" s="1">
        <v>37</v>
      </c>
      <c r="B87" s="10">
        <v>2</v>
      </c>
      <c r="C87" s="10" t="s">
        <v>127</v>
      </c>
      <c r="D87" s="10" t="s">
        <v>11</v>
      </c>
      <c r="E87" s="11" t="s">
        <v>155</v>
      </c>
      <c r="F87" s="11" t="s">
        <v>34</v>
      </c>
      <c r="G87" s="12" t="s">
        <v>156</v>
      </c>
      <c r="H87" s="12" t="s">
        <v>48</v>
      </c>
      <c r="I87" s="12" t="s">
        <v>155</v>
      </c>
      <c r="J87" s="12" t="s">
        <v>34</v>
      </c>
      <c r="K87" s="3"/>
      <c r="L87" s="3"/>
      <c r="M87" s="3"/>
    </row>
    <row r="88" spans="1:13" ht="15.05" customHeight="1">
      <c r="A88" s="1">
        <v>38</v>
      </c>
      <c r="B88" s="10">
        <v>2</v>
      </c>
      <c r="C88" s="10" t="s">
        <v>127</v>
      </c>
      <c r="D88" s="10" t="s">
        <v>11</v>
      </c>
      <c r="E88" s="12" t="s">
        <v>157</v>
      </c>
      <c r="F88" s="12" t="s">
        <v>30</v>
      </c>
      <c r="G88" s="11" t="s">
        <v>158</v>
      </c>
      <c r="H88" s="11" t="s">
        <v>44</v>
      </c>
      <c r="I88" s="12" t="s">
        <v>159</v>
      </c>
      <c r="J88" s="12" t="s">
        <v>44</v>
      </c>
      <c r="K88" s="3"/>
      <c r="L88" s="3"/>
      <c r="M88" s="3"/>
    </row>
    <row r="89" spans="1:13" ht="15.05" customHeight="1">
      <c r="A89" s="1">
        <v>39</v>
      </c>
      <c r="B89" s="10">
        <v>2</v>
      </c>
      <c r="C89" s="10" t="s">
        <v>130</v>
      </c>
      <c r="D89" s="10" t="s">
        <v>11</v>
      </c>
      <c r="E89" s="11" t="s">
        <v>131</v>
      </c>
      <c r="F89" s="11" t="s">
        <v>17</v>
      </c>
      <c r="G89" s="12" t="s">
        <v>160</v>
      </c>
      <c r="H89" s="12" t="s">
        <v>90</v>
      </c>
      <c r="I89" s="12" t="s">
        <v>131</v>
      </c>
      <c r="J89" s="12" t="s">
        <v>17</v>
      </c>
      <c r="K89" s="3"/>
      <c r="L89" s="3"/>
      <c r="M89" s="3"/>
    </row>
    <row r="90" spans="1:13" ht="15.05" customHeight="1">
      <c r="A90" s="1">
        <v>40</v>
      </c>
      <c r="B90" s="10">
        <v>2</v>
      </c>
      <c r="C90" s="10" t="s">
        <v>130</v>
      </c>
      <c r="D90" s="10" t="s">
        <v>11</v>
      </c>
      <c r="E90" s="12" t="s">
        <v>161</v>
      </c>
      <c r="F90" s="12" t="s">
        <v>48</v>
      </c>
      <c r="G90" s="11" t="s">
        <v>162</v>
      </c>
      <c r="H90" s="11" t="s">
        <v>40</v>
      </c>
      <c r="I90" s="12" t="s">
        <v>163</v>
      </c>
      <c r="J90" s="12" t="s">
        <v>40</v>
      </c>
      <c r="K90" s="3"/>
      <c r="L90" s="3"/>
      <c r="M90" s="3"/>
    </row>
    <row r="91" spans="1:13" ht="15.05" customHeight="1">
      <c r="A91" s="1">
        <v>41</v>
      </c>
      <c r="B91" s="10">
        <v>2</v>
      </c>
      <c r="C91" s="10" t="s">
        <v>130</v>
      </c>
      <c r="D91" s="10" t="s">
        <v>11</v>
      </c>
      <c r="E91" s="12" t="s">
        <v>164</v>
      </c>
      <c r="F91" s="12" t="s">
        <v>19</v>
      </c>
      <c r="G91" s="11" t="s">
        <v>165</v>
      </c>
      <c r="H91" s="11" t="s">
        <v>42</v>
      </c>
      <c r="I91" s="12" t="s">
        <v>165</v>
      </c>
      <c r="J91" s="12" t="s">
        <v>42</v>
      </c>
      <c r="K91" s="3"/>
      <c r="L91" s="3"/>
      <c r="M91" s="3"/>
    </row>
    <row r="92" spans="1:13" ht="15.05" customHeight="1">
      <c r="A92" s="1">
        <v>42</v>
      </c>
      <c r="B92" s="10">
        <v>2</v>
      </c>
      <c r="C92" s="10" t="s">
        <v>130</v>
      </c>
      <c r="D92" s="10" t="s">
        <v>11</v>
      </c>
      <c r="E92" s="11" t="s">
        <v>166</v>
      </c>
      <c r="F92" s="11" t="s">
        <v>76</v>
      </c>
      <c r="G92" s="12" t="s">
        <v>167</v>
      </c>
      <c r="H92" s="12" t="s">
        <v>168</v>
      </c>
      <c r="I92" s="12" t="s">
        <v>166</v>
      </c>
      <c r="J92" s="12" t="s">
        <v>76</v>
      </c>
      <c r="K92" s="3"/>
      <c r="L92" s="3"/>
      <c r="M92" s="3"/>
    </row>
    <row r="93" spans="1:13" ht="15.05" customHeight="1">
      <c r="A93" s="1">
        <v>43</v>
      </c>
      <c r="B93" s="10">
        <v>2</v>
      </c>
      <c r="C93" s="10" t="s">
        <v>86</v>
      </c>
      <c r="D93" s="10" t="s">
        <v>78</v>
      </c>
      <c r="E93" s="13" t="s">
        <v>87</v>
      </c>
      <c r="F93" s="13" t="s">
        <v>88</v>
      </c>
      <c r="G93" s="11" t="s">
        <v>93</v>
      </c>
      <c r="H93" s="11" t="s">
        <v>70</v>
      </c>
      <c r="I93" s="13" t="s">
        <v>93</v>
      </c>
      <c r="J93" s="13" t="s">
        <v>70</v>
      </c>
      <c r="K93" s="3"/>
      <c r="L93" s="3"/>
      <c r="M93" s="3"/>
    </row>
    <row r="94" spans="1:13" ht="15.05" customHeight="1">
      <c r="A94" s="1">
        <v>44</v>
      </c>
      <c r="B94" s="10">
        <v>2</v>
      </c>
      <c r="C94" s="10" t="s">
        <v>86</v>
      </c>
      <c r="D94" s="10" t="s">
        <v>78</v>
      </c>
      <c r="E94" s="12" t="s">
        <v>136</v>
      </c>
      <c r="F94" s="12" t="s">
        <v>15</v>
      </c>
      <c r="G94" s="11" t="s">
        <v>99</v>
      </c>
      <c r="H94" s="11" t="s">
        <v>40</v>
      </c>
      <c r="I94" s="12" t="s">
        <v>99</v>
      </c>
      <c r="J94" s="12" t="s">
        <v>40</v>
      </c>
      <c r="K94" s="3"/>
      <c r="L94" s="3"/>
      <c r="M94" s="3"/>
    </row>
    <row r="95" spans="1:13" ht="15.05" customHeight="1">
      <c r="A95" s="1">
        <v>45</v>
      </c>
      <c r="B95" s="10">
        <v>2</v>
      </c>
      <c r="C95" s="10" t="s">
        <v>102</v>
      </c>
      <c r="D95" s="10" t="s">
        <v>78</v>
      </c>
      <c r="E95" s="11" t="s">
        <v>103</v>
      </c>
      <c r="F95" s="11" t="s">
        <v>70</v>
      </c>
      <c r="G95" s="12" t="s">
        <v>138</v>
      </c>
      <c r="H95" s="12" t="s">
        <v>15</v>
      </c>
      <c r="I95" s="12" t="s">
        <v>103</v>
      </c>
      <c r="J95" s="12" t="s">
        <v>70</v>
      </c>
      <c r="K95" s="3"/>
      <c r="L95" s="3"/>
      <c r="M95" s="3"/>
    </row>
    <row r="96" spans="1:13" ht="15.05" customHeight="1">
      <c r="A96" s="1">
        <v>46</v>
      </c>
      <c r="B96" s="10">
        <v>2</v>
      </c>
      <c r="C96" s="10" t="s">
        <v>102</v>
      </c>
      <c r="D96" s="10" t="s">
        <v>78</v>
      </c>
      <c r="E96" s="11" t="s">
        <v>140</v>
      </c>
      <c r="F96" s="11" t="s">
        <v>40</v>
      </c>
      <c r="G96" s="12" t="s">
        <v>110</v>
      </c>
      <c r="H96" s="12" t="s">
        <v>59</v>
      </c>
      <c r="I96" s="12" t="s">
        <v>140</v>
      </c>
      <c r="J96" s="12" t="s">
        <v>40</v>
      </c>
      <c r="K96" s="3"/>
      <c r="L96" s="3"/>
      <c r="M96" s="3"/>
    </row>
    <row r="97" spans="1:13" ht="15.05" customHeight="1">
      <c r="A97" s="1">
        <v>47</v>
      </c>
      <c r="B97" s="10">
        <v>2</v>
      </c>
      <c r="C97" s="10" t="s">
        <v>112</v>
      </c>
      <c r="D97" s="10" t="s">
        <v>78</v>
      </c>
      <c r="E97" s="11" t="s">
        <v>116</v>
      </c>
      <c r="F97" s="11" t="s">
        <v>48</v>
      </c>
      <c r="G97" s="12" t="s">
        <v>118</v>
      </c>
      <c r="H97" s="12" t="s">
        <v>15</v>
      </c>
      <c r="I97" s="12" t="s">
        <v>116</v>
      </c>
      <c r="J97" s="12" t="s">
        <v>48</v>
      </c>
      <c r="K97" s="3"/>
      <c r="L97" s="3"/>
      <c r="M97" s="3"/>
    </row>
    <row r="98" spans="1:13" ht="15.05" customHeight="1">
      <c r="A98" s="1">
        <v>48</v>
      </c>
      <c r="B98" s="10">
        <v>2</v>
      </c>
      <c r="C98" s="10" t="s">
        <v>112</v>
      </c>
      <c r="D98" s="10" t="s">
        <v>78</v>
      </c>
      <c r="E98" s="12" t="s">
        <v>87</v>
      </c>
      <c r="F98" s="12" t="s">
        <v>101</v>
      </c>
      <c r="G98" s="11" t="s">
        <v>122</v>
      </c>
      <c r="H98" s="11" t="s">
        <v>42</v>
      </c>
      <c r="I98" s="12" t="s">
        <v>122</v>
      </c>
      <c r="J98" s="12" t="s">
        <v>42</v>
      </c>
      <c r="K98" s="3"/>
      <c r="L98" s="3"/>
      <c r="M98" s="3"/>
    </row>
    <row r="99" spans="1:13" ht="15.05" customHeight="1">
      <c r="A99" s="1">
        <v>49</v>
      </c>
      <c r="B99" s="10">
        <v>2</v>
      </c>
      <c r="C99" s="10" t="s">
        <v>123</v>
      </c>
      <c r="D99" s="10" t="s">
        <v>78</v>
      </c>
      <c r="E99" s="13" t="s">
        <v>169</v>
      </c>
      <c r="F99" s="13" t="s">
        <v>101</v>
      </c>
      <c r="G99" s="11" t="s">
        <v>170</v>
      </c>
      <c r="H99" s="11" t="s">
        <v>44</v>
      </c>
      <c r="I99" s="12" t="s">
        <v>148</v>
      </c>
      <c r="J99" s="12" t="s">
        <v>44</v>
      </c>
      <c r="K99" s="3"/>
      <c r="L99" s="3"/>
      <c r="M99" s="3"/>
    </row>
    <row r="100" spans="1:13" ht="15.05" customHeight="1">
      <c r="A100" s="1">
        <v>50</v>
      </c>
      <c r="B100" s="10">
        <v>2</v>
      </c>
      <c r="C100" s="10" t="s">
        <v>123</v>
      </c>
      <c r="D100" s="10" t="s">
        <v>78</v>
      </c>
      <c r="E100" s="11" t="s">
        <v>149</v>
      </c>
      <c r="F100" s="11" t="s">
        <v>40</v>
      </c>
      <c r="G100" s="12" t="s">
        <v>151</v>
      </c>
      <c r="H100" s="12" t="s">
        <v>15</v>
      </c>
      <c r="I100" s="12" t="s">
        <v>149</v>
      </c>
      <c r="J100" s="12" t="s">
        <v>40</v>
      </c>
      <c r="K100" s="3"/>
      <c r="L100" s="3"/>
      <c r="M100" s="3"/>
    </row>
    <row r="101" spans="1:13" ht="15.05" customHeight="1">
      <c r="A101" s="1">
        <v>51</v>
      </c>
      <c r="B101" s="10">
        <v>2</v>
      </c>
      <c r="C101" s="10" t="s">
        <v>127</v>
      </c>
      <c r="D101" s="10" t="s">
        <v>78</v>
      </c>
      <c r="E101" s="12" t="s">
        <v>128</v>
      </c>
      <c r="F101" s="12" t="s">
        <v>40</v>
      </c>
      <c r="G101" s="11" t="s">
        <v>153</v>
      </c>
      <c r="H101" s="11" t="s">
        <v>19</v>
      </c>
      <c r="I101" s="12" t="s">
        <v>153</v>
      </c>
      <c r="J101" s="12" t="s">
        <v>19</v>
      </c>
      <c r="K101" s="3"/>
      <c r="L101" s="3"/>
      <c r="M101" s="3"/>
    </row>
    <row r="102" spans="1:13" ht="15.05" customHeight="1">
      <c r="A102" s="1">
        <v>52</v>
      </c>
      <c r="B102" s="10">
        <v>2</v>
      </c>
      <c r="C102" s="10" t="s">
        <v>127</v>
      </c>
      <c r="D102" s="10" t="s">
        <v>78</v>
      </c>
      <c r="E102" s="12" t="s">
        <v>155</v>
      </c>
      <c r="F102" s="12" t="s">
        <v>34</v>
      </c>
      <c r="G102" s="11" t="s">
        <v>159</v>
      </c>
      <c r="H102" s="11" t="s">
        <v>44</v>
      </c>
      <c r="I102" s="12" t="s">
        <v>159</v>
      </c>
      <c r="J102" s="12" t="s">
        <v>44</v>
      </c>
      <c r="K102" s="3"/>
      <c r="L102" s="3"/>
      <c r="M102" s="3"/>
    </row>
    <row r="103" spans="1:13" ht="15.05" customHeight="1">
      <c r="A103" s="1">
        <v>53</v>
      </c>
      <c r="B103" s="10">
        <v>2</v>
      </c>
      <c r="C103" s="10" t="s">
        <v>130</v>
      </c>
      <c r="D103" s="10" t="s">
        <v>78</v>
      </c>
      <c r="E103" s="11" t="s">
        <v>131</v>
      </c>
      <c r="F103" s="11" t="s">
        <v>17</v>
      </c>
      <c r="G103" s="12" t="s">
        <v>163</v>
      </c>
      <c r="H103" s="12" t="s">
        <v>40</v>
      </c>
      <c r="I103" s="12" t="s">
        <v>131</v>
      </c>
      <c r="J103" s="12" t="s">
        <v>17</v>
      </c>
      <c r="K103" s="3"/>
      <c r="L103" s="3"/>
      <c r="M103" s="3"/>
    </row>
    <row r="104" spans="1:13" ht="15.05" customHeight="1">
      <c r="A104" s="1">
        <v>54</v>
      </c>
      <c r="B104" s="10">
        <v>2</v>
      </c>
      <c r="C104" s="10" t="s">
        <v>130</v>
      </c>
      <c r="D104" s="10" t="s">
        <v>78</v>
      </c>
      <c r="E104" s="11" t="s">
        <v>165</v>
      </c>
      <c r="F104" s="11" t="s">
        <v>42</v>
      </c>
      <c r="G104" s="12" t="s">
        <v>166</v>
      </c>
      <c r="H104" s="12" t="s">
        <v>76</v>
      </c>
      <c r="I104" s="12" t="s">
        <v>165</v>
      </c>
      <c r="J104" s="12" t="s">
        <v>42</v>
      </c>
      <c r="K104" s="3"/>
      <c r="L104" s="3"/>
      <c r="M104" s="3"/>
    </row>
    <row r="105" spans="1:13" ht="15.05" customHeight="1">
      <c r="A105" s="1">
        <v>55</v>
      </c>
      <c r="B105" s="10">
        <v>2</v>
      </c>
      <c r="C105" s="10" t="s">
        <v>86</v>
      </c>
      <c r="D105" s="10" t="s">
        <v>84</v>
      </c>
      <c r="E105" s="13" t="s">
        <v>93</v>
      </c>
      <c r="F105" s="13" t="s">
        <v>70</v>
      </c>
      <c r="G105" s="11" t="s">
        <v>99</v>
      </c>
      <c r="H105" s="11" t="s">
        <v>40</v>
      </c>
      <c r="I105" s="15" t="s">
        <v>99</v>
      </c>
      <c r="J105" s="15" t="s">
        <v>40</v>
      </c>
      <c r="K105" s="3"/>
      <c r="L105" s="3"/>
      <c r="M105" s="3"/>
    </row>
    <row r="106" spans="1:13" ht="15.05" customHeight="1">
      <c r="A106" s="1">
        <v>56</v>
      </c>
      <c r="B106" s="10">
        <v>2</v>
      </c>
      <c r="C106" s="10" t="s">
        <v>102</v>
      </c>
      <c r="D106" s="10" t="s">
        <v>84</v>
      </c>
      <c r="E106" s="12" t="s">
        <v>103</v>
      </c>
      <c r="F106" s="12" t="s">
        <v>70</v>
      </c>
      <c r="G106" s="11" t="s">
        <v>140</v>
      </c>
      <c r="H106" s="11" t="s">
        <v>40</v>
      </c>
      <c r="I106" s="12" t="s">
        <v>140</v>
      </c>
      <c r="J106" s="12" t="s">
        <v>40</v>
      </c>
      <c r="K106" s="3"/>
      <c r="L106" s="3"/>
      <c r="M106" s="3"/>
    </row>
    <row r="107" spans="1:13" ht="15.05" customHeight="1">
      <c r="A107" s="1">
        <v>57</v>
      </c>
      <c r="B107" s="10">
        <v>2</v>
      </c>
      <c r="C107" s="10" t="s">
        <v>112</v>
      </c>
      <c r="D107" s="10" t="s">
        <v>84</v>
      </c>
      <c r="E107" s="11" t="s">
        <v>116</v>
      </c>
      <c r="F107" s="11" t="s">
        <v>48</v>
      </c>
      <c r="G107" s="12" t="s">
        <v>122</v>
      </c>
      <c r="H107" s="12" t="s">
        <v>42</v>
      </c>
      <c r="I107" s="12" t="s">
        <v>116</v>
      </c>
      <c r="J107" s="12" t="s">
        <v>48</v>
      </c>
      <c r="K107" s="3"/>
      <c r="L107" s="3"/>
      <c r="M107" s="3"/>
    </row>
    <row r="108" spans="1:13" ht="15.05" customHeight="1">
      <c r="A108" s="1">
        <v>58</v>
      </c>
      <c r="B108" s="10">
        <v>2</v>
      </c>
      <c r="C108" s="10" t="s">
        <v>123</v>
      </c>
      <c r="D108" s="10" t="s">
        <v>84</v>
      </c>
      <c r="E108" s="12" t="s">
        <v>148</v>
      </c>
      <c r="F108" s="12" t="s">
        <v>44</v>
      </c>
      <c r="G108" s="11" t="s">
        <v>149</v>
      </c>
      <c r="H108" s="11" t="s">
        <v>40</v>
      </c>
      <c r="I108" s="12" t="s">
        <v>149</v>
      </c>
      <c r="J108" s="12" t="s">
        <v>40</v>
      </c>
      <c r="K108" s="3"/>
      <c r="L108" s="3"/>
      <c r="M108" s="3"/>
    </row>
    <row r="109" spans="1:13" ht="15.05" customHeight="1">
      <c r="A109" s="1">
        <v>59</v>
      </c>
      <c r="B109" s="10">
        <v>2</v>
      </c>
      <c r="C109" s="10" t="s">
        <v>127</v>
      </c>
      <c r="D109" s="10" t="s">
        <v>84</v>
      </c>
      <c r="E109" s="12" t="s">
        <v>153</v>
      </c>
      <c r="F109" s="12" t="s">
        <v>19</v>
      </c>
      <c r="G109" s="11" t="s">
        <v>159</v>
      </c>
      <c r="H109" s="11" t="s">
        <v>44</v>
      </c>
      <c r="I109" s="12" t="s">
        <v>159</v>
      </c>
      <c r="J109" s="12" t="s">
        <v>44</v>
      </c>
      <c r="K109" s="3"/>
      <c r="L109" s="3"/>
      <c r="M109" s="3"/>
    </row>
    <row r="110" spans="1:13" ht="15.05" customHeight="1">
      <c r="A110" s="1">
        <v>60</v>
      </c>
      <c r="B110" s="10">
        <v>2</v>
      </c>
      <c r="C110" s="10" t="s">
        <v>130</v>
      </c>
      <c r="D110" s="10" t="s">
        <v>84</v>
      </c>
      <c r="E110" s="12" t="s">
        <v>131</v>
      </c>
      <c r="F110" s="12" t="s">
        <v>17</v>
      </c>
      <c r="G110" s="11" t="s">
        <v>165</v>
      </c>
      <c r="H110" s="11" t="s">
        <v>42</v>
      </c>
      <c r="I110" s="12" t="s">
        <v>165</v>
      </c>
      <c r="J110" s="12" t="s">
        <v>42</v>
      </c>
      <c r="K110" s="3"/>
      <c r="L110" s="3"/>
      <c r="M110" s="3"/>
    </row>
    <row r="111" spans="1:13" ht="15.05" customHeight="1">
      <c r="A111" s="16"/>
      <c r="B111" s="17"/>
      <c r="C111" s="17"/>
      <c r="D111" s="17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05" customHeight="1">
      <c r="A112" s="16"/>
      <c r="B112" s="17"/>
      <c r="C112" s="17"/>
      <c r="D112" s="17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05" customHeight="1">
      <c r="A113" s="16"/>
      <c r="B113" s="17"/>
      <c r="C113" s="17"/>
      <c r="D113" s="17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05" customHeight="1">
      <c r="A114" s="16"/>
      <c r="B114" s="17"/>
      <c r="C114" s="17"/>
      <c r="D114" s="17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05" customHeight="1">
      <c r="A115" s="16"/>
      <c r="B115" s="17"/>
      <c r="C115" s="17"/>
      <c r="D115" s="17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05" customHeight="1">
      <c r="A116" s="16"/>
      <c r="B116" s="17"/>
      <c r="C116" s="17"/>
      <c r="D116" s="17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05" customHeight="1">
      <c r="A117" s="16"/>
      <c r="B117" s="17"/>
      <c r="C117" s="17"/>
      <c r="D117" s="17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05" customHeight="1">
      <c r="A118" s="16"/>
      <c r="B118" s="17"/>
      <c r="C118" s="17"/>
      <c r="D118" s="17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05" customHeight="1">
      <c r="A119" s="16"/>
      <c r="B119" s="17"/>
      <c r="C119" s="17"/>
      <c r="D119" s="17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05" customHeight="1">
      <c r="A120" s="16"/>
      <c r="B120" s="17"/>
      <c r="C120" s="17"/>
      <c r="D120" s="17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05" customHeight="1">
      <c r="A121" s="16"/>
      <c r="B121" s="17"/>
      <c r="C121" s="17"/>
      <c r="D121" s="17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05" customHeight="1">
      <c r="A122" s="16"/>
      <c r="B122" s="17"/>
      <c r="C122" s="17"/>
      <c r="D122" s="17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05" customHeight="1">
      <c r="A123" s="16"/>
      <c r="B123" s="17"/>
      <c r="C123" s="17"/>
      <c r="D123" s="17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05" customHeight="1">
      <c r="A124" s="16"/>
      <c r="B124" s="17"/>
      <c r="C124" s="17"/>
      <c r="D124" s="17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05" customHeight="1">
      <c r="A125" s="16"/>
      <c r="B125" s="17"/>
      <c r="C125" s="17"/>
      <c r="D125" s="17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05" customHeight="1">
      <c r="A126" s="16"/>
      <c r="B126" s="17"/>
      <c r="C126" s="17"/>
      <c r="D126" s="17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05" customHeight="1">
      <c r="A127" s="16"/>
      <c r="B127" s="17"/>
      <c r="C127" s="17"/>
      <c r="D127" s="17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05" customHeight="1">
      <c r="A128" s="16"/>
      <c r="B128" s="17"/>
      <c r="C128" s="17"/>
      <c r="D128" s="17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05" customHeight="1">
      <c r="A129" s="16"/>
      <c r="B129" s="17"/>
      <c r="C129" s="17"/>
      <c r="D129" s="17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05" customHeight="1">
      <c r="A130" s="16"/>
      <c r="B130" s="17"/>
      <c r="C130" s="17"/>
      <c r="D130" s="17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05" customHeight="1">
      <c r="A131" s="16"/>
      <c r="B131" s="17"/>
      <c r="C131" s="17"/>
      <c r="D131" s="17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05" customHeight="1">
      <c r="A132" s="16"/>
      <c r="B132" s="17"/>
      <c r="C132" s="17"/>
      <c r="D132" s="17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05" customHeight="1">
      <c r="A133" s="16"/>
      <c r="B133" s="17"/>
      <c r="C133" s="17"/>
      <c r="D133" s="17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05" customHeight="1">
      <c r="A134" s="16"/>
      <c r="B134" s="17"/>
      <c r="C134" s="17"/>
      <c r="D134" s="17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05" customHeight="1">
      <c r="A135" s="16"/>
      <c r="B135" s="17"/>
      <c r="C135" s="17"/>
      <c r="D135" s="17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05" customHeight="1">
      <c r="A136" s="16"/>
      <c r="B136" s="17"/>
      <c r="C136" s="17"/>
      <c r="D136" s="17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05" customHeight="1">
      <c r="A137" s="16"/>
      <c r="B137" s="17"/>
      <c r="C137" s="17"/>
      <c r="D137" s="17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05" customHeight="1">
      <c r="A138" s="16"/>
      <c r="B138" s="17"/>
      <c r="C138" s="17"/>
      <c r="D138" s="17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05" customHeight="1">
      <c r="A139" s="16"/>
      <c r="B139" s="17"/>
      <c r="C139" s="17"/>
      <c r="D139" s="17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05" customHeight="1">
      <c r="A140" s="16"/>
      <c r="B140" s="17"/>
      <c r="C140" s="17"/>
      <c r="D140" s="17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05" customHeight="1">
      <c r="A141" s="16"/>
      <c r="B141" s="17"/>
      <c r="C141" s="17"/>
      <c r="D141" s="17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05" customHeight="1">
      <c r="A142" s="16"/>
      <c r="B142" s="17"/>
      <c r="C142" s="17"/>
      <c r="D142" s="17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05" customHeight="1">
      <c r="A143" s="16"/>
      <c r="B143" s="17"/>
      <c r="C143" s="17"/>
      <c r="D143" s="17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05" customHeight="1">
      <c r="A144" s="16"/>
      <c r="B144" s="17"/>
      <c r="C144" s="17"/>
      <c r="D144" s="17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05" customHeight="1">
      <c r="A145" s="16"/>
      <c r="B145" s="17"/>
      <c r="C145" s="17"/>
      <c r="D145" s="17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05" customHeight="1">
      <c r="A146" s="16"/>
      <c r="B146" s="17"/>
      <c r="C146" s="17"/>
      <c r="D146" s="17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05" customHeight="1">
      <c r="A147" s="16"/>
      <c r="B147" s="17"/>
      <c r="C147" s="17"/>
      <c r="D147" s="17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05" customHeight="1">
      <c r="A148" s="16"/>
      <c r="B148" s="17"/>
      <c r="C148" s="17"/>
      <c r="D148" s="17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05" customHeight="1">
      <c r="A149" s="16"/>
      <c r="B149" s="17"/>
      <c r="C149" s="17"/>
      <c r="D149" s="17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05" customHeight="1">
      <c r="A150" s="16"/>
      <c r="B150" s="17"/>
      <c r="C150" s="17"/>
      <c r="D150" s="17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05" customHeight="1">
      <c r="A151" s="16"/>
      <c r="B151" s="17"/>
      <c r="C151" s="17"/>
      <c r="D151" s="17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05" customHeight="1">
      <c r="A152" s="16"/>
      <c r="B152" s="17"/>
      <c r="C152" s="17"/>
      <c r="D152" s="17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05" customHeight="1">
      <c r="A153" s="16"/>
      <c r="B153" s="17"/>
      <c r="C153" s="17"/>
      <c r="D153" s="17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05" customHeight="1">
      <c r="A154" s="16"/>
      <c r="B154" s="17"/>
      <c r="C154" s="17"/>
      <c r="D154" s="17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05" customHeight="1">
      <c r="A155" s="16"/>
      <c r="B155" s="17"/>
      <c r="C155" s="17"/>
      <c r="D155" s="17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05" customHeight="1">
      <c r="A156" s="16"/>
      <c r="B156" s="17"/>
      <c r="C156" s="17"/>
      <c r="D156" s="17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05" customHeight="1">
      <c r="A157" s="16"/>
      <c r="B157" s="17"/>
      <c r="C157" s="17"/>
      <c r="D157" s="17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05" customHeight="1">
      <c r="A158" s="16"/>
      <c r="B158" s="17"/>
      <c r="C158" s="17"/>
      <c r="D158" s="17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05" customHeight="1">
      <c r="A159" s="16"/>
      <c r="B159" s="17"/>
      <c r="C159" s="17"/>
      <c r="D159" s="17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05" customHeight="1">
      <c r="A160" s="16"/>
      <c r="B160" s="17"/>
      <c r="C160" s="17"/>
      <c r="D160" s="17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05" customHeight="1">
      <c r="A161" s="16"/>
      <c r="B161" s="17"/>
      <c r="C161" s="17"/>
      <c r="D161" s="17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05" customHeight="1">
      <c r="A162" s="16"/>
      <c r="B162" s="17"/>
      <c r="C162" s="17"/>
      <c r="D162" s="17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05" customHeight="1">
      <c r="A163" s="16"/>
      <c r="B163" s="17"/>
      <c r="C163" s="17"/>
      <c r="D163" s="17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05" customHeight="1">
      <c r="A164" s="16"/>
      <c r="B164" s="17"/>
      <c r="C164" s="17"/>
      <c r="D164" s="17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05" customHeight="1">
      <c r="A165" s="16"/>
      <c r="B165" s="17"/>
      <c r="C165" s="17"/>
      <c r="D165" s="17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05" customHeight="1">
      <c r="A166" s="16"/>
      <c r="B166" s="17"/>
      <c r="C166" s="17"/>
      <c r="D166" s="17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05" customHeight="1">
      <c r="A167" s="16"/>
      <c r="B167" s="17"/>
      <c r="C167" s="17"/>
      <c r="D167" s="17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05" customHeight="1">
      <c r="A168" s="16"/>
      <c r="B168" s="17"/>
      <c r="C168" s="17"/>
      <c r="D168" s="17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05" customHeight="1">
      <c r="A169" s="16"/>
      <c r="B169" s="17"/>
      <c r="C169" s="17"/>
      <c r="D169" s="17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05" customHeight="1">
      <c r="A170" s="16"/>
      <c r="B170" s="17"/>
      <c r="C170" s="17"/>
      <c r="D170" s="17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05" customHeight="1">
      <c r="A171" s="16"/>
      <c r="B171" s="17"/>
      <c r="C171" s="17"/>
      <c r="D171" s="17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05" customHeight="1">
      <c r="A172" s="16"/>
      <c r="B172" s="17"/>
      <c r="C172" s="17"/>
      <c r="D172" s="17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05" customHeight="1">
      <c r="A173" s="16"/>
      <c r="B173" s="17"/>
      <c r="C173" s="17"/>
      <c r="D173" s="17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05" customHeight="1">
      <c r="A174" s="16"/>
      <c r="B174" s="17"/>
      <c r="C174" s="17"/>
      <c r="D174" s="17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05" customHeight="1">
      <c r="A175" s="16"/>
      <c r="B175" s="17"/>
      <c r="C175" s="17"/>
      <c r="D175" s="17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05" customHeight="1">
      <c r="A176" s="16"/>
      <c r="B176" s="17"/>
      <c r="C176" s="17"/>
      <c r="D176" s="17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05" customHeight="1">
      <c r="A177" s="16"/>
      <c r="B177" s="17"/>
      <c r="C177" s="17"/>
      <c r="D177" s="17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05" customHeight="1">
      <c r="A178" s="16"/>
      <c r="B178" s="17"/>
      <c r="C178" s="17"/>
      <c r="D178" s="17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05" customHeight="1">
      <c r="A179" s="16"/>
      <c r="B179" s="17"/>
      <c r="C179" s="17"/>
      <c r="D179" s="17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05" customHeight="1">
      <c r="A180" s="16"/>
      <c r="B180" s="17"/>
      <c r="C180" s="17"/>
      <c r="D180" s="17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05" customHeight="1">
      <c r="A181" s="16"/>
      <c r="B181" s="17"/>
      <c r="C181" s="17"/>
      <c r="D181" s="17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05" customHeight="1">
      <c r="A182" s="16"/>
      <c r="B182" s="17"/>
      <c r="C182" s="17"/>
      <c r="D182" s="17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05" customHeight="1">
      <c r="A183" s="16"/>
      <c r="B183" s="17"/>
      <c r="C183" s="17"/>
      <c r="D183" s="17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05" customHeight="1">
      <c r="A184" s="16"/>
      <c r="B184" s="17"/>
      <c r="C184" s="17"/>
      <c r="D184" s="17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05" customHeight="1">
      <c r="A185" s="16"/>
      <c r="B185" s="17"/>
      <c r="C185" s="17"/>
      <c r="D185" s="17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05" customHeight="1">
      <c r="A186" s="16"/>
      <c r="B186" s="17"/>
      <c r="C186" s="17"/>
      <c r="D186" s="17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05" customHeight="1">
      <c r="A187" s="16"/>
      <c r="B187" s="17"/>
      <c r="C187" s="17"/>
      <c r="D187" s="17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05" customHeight="1">
      <c r="A188" s="16"/>
      <c r="B188" s="17"/>
      <c r="C188" s="17"/>
      <c r="D188" s="17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05" customHeight="1">
      <c r="A189" s="16"/>
      <c r="B189" s="17"/>
      <c r="C189" s="17"/>
      <c r="D189" s="17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05" customHeight="1">
      <c r="A190" s="16"/>
      <c r="B190" s="17"/>
      <c r="C190" s="17"/>
      <c r="D190" s="17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05" customHeight="1">
      <c r="A191" s="16"/>
      <c r="B191" s="17"/>
      <c r="C191" s="17"/>
      <c r="D191" s="17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05" customHeight="1">
      <c r="A192" s="16"/>
      <c r="B192" s="17"/>
      <c r="C192" s="17"/>
      <c r="D192" s="17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05" customHeight="1">
      <c r="A193" s="16"/>
      <c r="B193" s="17"/>
      <c r="C193" s="17"/>
      <c r="D193" s="17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05" customHeight="1">
      <c r="A194" s="16"/>
      <c r="B194" s="17"/>
      <c r="C194" s="17"/>
      <c r="D194" s="17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05" customHeight="1">
      <c r="A195" s="16"/>
      <c r="B195" s="17"/>
      <c r="C195" s="17"/>
      <c r="D195" s="17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05" customHeight="1">
      <c r="A196" s="16"/>
      <c r="B196" s="17"/>
      <c r="C196" s="17"/>
      <c r="D196" s="17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05" customHeight="1">
      <c r="A197" s="16"/>
      <c r="B197" s="17"/>
      <c r="C197" s="17"/>
      <c r="D197" s="17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05" customHeight="1">
      <c r="A198" s="16"/>
      <c r="B198" s="17"/>
      <c r="C198" s="17"/>
      <c r="D198" s="17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05" customHeight="1">
      <c r="A199" s="16"/>
      <c r="B199" s="17"/>
      <c r="C199" s="17"/>
      <c r="D199" s="17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05" customHeight="1">
      <c r="A200" s="16"/>
      <c r="B200" s="17"/>
      <c r="C200" s="17"/>
      <c r="D200" s="17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05" customHeight="1">
      <c r="A201" s="16"/>
      <c r="B201" s="17"/>
      <c r="C201" s="17"/>
      <c r="D201" s="17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05" customHeight="1">
      <c r="A202" s="16"/>
      <c r="B202" s="17"/>
      <c r="C202" s="17"/>
      <c r="D202" s="17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05" customHeight="1">
      <c r="A203" s="16"/>
      <c r="B203" s="17"/>
      <c r="C203" s="17"/>
      <c r="D203" s="17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05" customHeight="1">
      <c r="A204" s="16"/>
      <c r="B204" s="17"/>
      <c r="C204" s="17"/>
      <c r="D204" s="17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05" customHeight="1">
      <c r="A205" s="16"/>
      <c r="B205" s="17"/>
      <c r="C205" s="17"/>
      <c r="D205" s="17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05" customHeight="1">
      <c r="A206" s="16"/>
      <c r="B206" s="17"/>
      <c r="C206" s="17"/>
      <c r="D206" s="17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05" customHeight="1">
      <c r="A207" s="16"/>
      <c r="B207" s="17"/>
      <c r="C207" s="17"/>
      <c r="D207" s="17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05" customHeight="1">
      <c r="A208" s="16"/>
      <c r="B208" s="17"/>
      <c r="C208" s="17"/>
      <c r="D208" s="17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05" customHeight="1">
      <c r="A209" s="16"/>
      <c r="B209" s="17"/>
      <c r="C209" s="17"/>
      <c r="D209" s="17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05" customHeight="1">
      <c r="A210" s="16"/>
      <c r="B210" s="17"/>
      <c r="C210" s="17"/>
      <c r="D210" s="17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05" customHeight="1">
      <c r="A211" s="16"/>
      <c r="B211" s="17"/>
      <c r="C211" s="17"/>
      <c r="D211" s="17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05" customHeight="1">
      <c r="A212" s="16"/>
      <c r="B212" s="17"/>
      <c r="C212" s="17"/>
      <c r="D212" s="17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05" customHeight="1">
      <c r="A213" s="16"/>
      <c r="B213" s="17"/>
      <c r="C213" s="17"/>
      <c r="D213" s="17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05" customHeight="1">
      <c r="A214" s="16"/>
      <c r="B214" s="17"/>
      <c r="C214" s="17"/>
      <c r="D214" s="17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05" customHeight="1">
      <c r="A215" s="16"/>
      <c r="B215" s="17"/>
      <c r="C215" s="17"/>
      <c r="D215" s="17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05" customHeight="1">
      <c r="A216" s="16"/>
      <c r="B216" s="17"/>
      <c r="C216" s="17"/>
      <c r="D216" s="17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05" customHeight="1">
      <c r="A217" s="16"/>
      <c r="B217" s="17"/>
      <c r="C217" s="17"/>
      <c r="D217" s="17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05" customHeight="1">
      <c r="A218" s="16"/>
      <c r="B218" s="17"/>
      <c r="C218" s="17"/>
      <c r="D218" s="17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05" customHeight="1">
      <c r="A219" s="16"/>
      <c r="B219" s="17"/>
      <c r="C219" s="17"/>
      <c r="D219" s="17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05" customHeight="1">
      <c r="A220" s="16"/>
      <c r="B220" s="17"/>
      <c r="C220" s="17"/>
      <c r="D220" s="17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05" customHeight="1">
      <c r="A221" s="16"/>
      <c r="B221" s="17"/>
      <c r="C221" s="17"/>
      <c r="D221" s="17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05" customHeight="1">
      <c r="A222" s="16"/>
      <c r="B222" s="17"/>
      <c r="C222" s="17"/>
      <c r="D222" s="17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05" customHeight="1">
      <c r="A223" s="16"/>
      <c r="B223" s="17"/>
      <c r="C223" s="17"/>
      <c r="D223" s="17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05" customHeight="1">
      <c r="A224" s="16"/>
      <c r="B224" s="17"/>
      <c r="C224" s="17"/>
      <c r="D224" s="17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05" customHeight="1">
      <c r="A225" s="16"/>
      <c r="B225" s="17"/>
      <c r="C225" s="17"/>
      <c r="D225" s="17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05" customHeight="1">
      <c r="A226" s="16"/>
      <c r="B226" s="17"/>
      <c r="C226" s="17"/>
      <c r="D226" s="17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05" customHeight="1">
      <c r="A227" s="16"/>
      <c r="B227" s="17"/>
      <c r="C227" s="17"/>
      <c r="D227" s="17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05" customHeight="1">
      <c r="A228" s="16"/>
      <c r="B228" s="17"/>
      <c r="C228" s="17"/>
      <c r="D228" s="17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05" customHeight="1">
      <c r="A229" s="16"/>
      <c r="B229" s="17"/>
      <c r="C229" s="17"/>
      <c r="D229" s="17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05" customHeight="1">
      <c r="A230" s="16"/>
      <c r="B230" s="17"/>
      <c r="C230" s="17"/>
      <c r="D230" s="17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05" customHeight="1">
      <c r="A231" s="16"/>
      <c r="B231" s="17"/>
      <c r="C231" s="17"/>
      <c r="D231" s="17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05" customHeight="1">
      <c r="A232" s="16"/>
      <c r="B232" s="17"/>
      <c r="C232" s="17"/>
      <c r="D232" s="17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05" customHeight="1">
      <c r="A233" s="16"/>
      <c r="B233" s="17"/>
      <c r="C233" s="17"/>
      <c r="D233" s="17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05" customHeight="1">
      <c r="A234" s="16"/>
      <c r="B234" s="17"/>
      <c r="C234" s="17"/>
      <c r="D234" s="17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05" customHeight="1">
      <c r="A235" s="16"/>
      <c r="B235" s="17"/>
      <c r="C235" s="17"/>
      <c r="D235" s="17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05" customHeight="1">
      <c r="A236" s="16"/>
      <c r="B236" s="17"/>
      <c r="C236" s="17"/>
      <c r="D236" s="17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05" customHeight="1">
      <c r="A237" s="16"/>
      <c r="B237" s="17"/>
      <c r="C237" s="17"/>
      <c r="D237" s="17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05" customHeight="1">
      <c r="A238" s="16"/>
      <c r="B238" s="17"/>
      <c r="C238" s="17"/>
      <c r="D238" s="17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05" customHeight="1">
      <c r="A239" s="16"/>
      <c r="B239" s="17"/>
      <c r="C239" s="17"/>
      <c r="D239" s="17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05" customHeight="1">
      <c r="A240" s="16"/>
      <c r="B240" s="17"/>
      <c r="C240" s="17"/>
      <c r="D240" s="17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05" customHeight="1">
      <c r="A241" s="16"/>
      <c r="B241" s="17"/>
      <c r="C241" s="17"/>
      <c r="D241" s="17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05" customHeight="1">
      <c r="A242" s="16"/>
      <c r="B242" s="17"/>
      <c r="C242" s="17"/>
      <c r="D242" s="17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05" customHeight="1">
      <c r="A243" s="16"/>
      <c r="B243" s="17"/>
      <c r="C243" s="17"/>
      <c r="D243" s="17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05" customHeight="1">
      <c r="A244" s="16"/>
      <c r="B244" s="17"/>
      <c r="C244" s="17"/>
      <c r="D244" s="17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05" customHeight="1">
      <c r="A245" s="16"/>
      <c r="B245" s="17"/>
      <c r="C245" s="17"/>
      <c r="D245" s="17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05" customHeight="1">
      <c r="A246" s="16"/>
      <c r="B246" s="17"/>
      <c r="C246" s="17"/>
      <c r="D246" s="17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05" customHeight="1">
      <c r="A247" s="16"/>
      <c r="B247" s="17"/>
      <c r="C247" s="17"/>
      <c r="D247" s="17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05" customHeight="1">
      <c r="A248" s="16"/>
      <c r="B248" s="17"/>
      <c r="C248" s="17"/>
      <c r="D248" s="17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05" customHeight="1">
      <c r="A249" s="16"/>
      <c r="B249" s="17"/>
      <c r="C249" s="17"/>
      <c r="D249" s="17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05" customHeight="1">
      <c r="A250" s="16"/>
      <c r="B250" s="17"/>
      <c r="C250" s="17"/>
      <c r="D250" s="17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05" customHeight="1">
      <c r="A251" s="16"/>
      <c r="B251" s="17"/>
      <c r="C251" s="17"/>
      <c r="D251" s="17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05" customHeight="1">
      <c r="A252" s="16"/>
      <c r="B252" s="17"/>
      <c r="C252" s="17"/>
      <c r="D252" s="17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05" customHeight="1">
      <c r="A253" s="16"/>
      <c r="B253" s="17"/>
      <c r="C253" s="17"/>
      <c r="D253" s="17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05" customHeight="1">
      <c r="A254" s="16"/>
      <c r="B254" s="17"/>
      <c r="C254" s="17"/>
      <c r="D254" s="17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05" customHeight="1">
      <c r="A255" s="16"/>
      <c r="B255" s="17"/>
      <c r="C255" s="17"/>
      <c r="D255" s="17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05" customHeight="1">
      <c r="A256" s="16"/>
      <c r="B256" s="17"/>
      <c r="C256" s="17"/>
      <c r="D256" s="17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05" customHeight="1">
      <c r="A257" s="16"/>
      <c r="B257" s="17"/>
      <c r="C257" s="17"/>
      <c r="D257" s="17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05" customHeight="1">
      <c r="A258" s="16"/>
      <c r="B258" s="17"/>
      <c r="C258" s="17"/>
      <c r="D258" s="17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05" customHeight="1">
      <c r="A259" s="16"/>
      <c r="B259" s="17"/>
      <c r="C259" s="17"/>
      <c r="D259" s="17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05" customHeight="1">
      <c r="A260" s="16"/>
      <c r="B260" s="17"/>
      <c r="C260" s="17"/>
      <c r="D260" s="17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05" customHeight="1">
      <c r="A261" s="16"/>
      <c r="B261" s="17"/>
      <c r="C261" s="17"/>
      <c r="D261" s="17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05" customHeight="1">
      <c r="A262" s="16"/>
      <c r="B262" s="17"/>
      <c r="C262" s="17"/>
      <c r="D262" s="17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05" customHeight="1">
      <c r="A263" s="16"/>
      <c r="B263" s="17"/>
      <c r="C263" s="17"/>
      <c r="D263" s="17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05" customHeight="1">
      <c r="A264" s="16"/>
      <c r="B264" s="17"/>
      <c r="C264" s="17"/>
      <c r="D264" s="17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05" customHeight="1">
      <c r="A265" s="16"/>
      <c r="B265" s="17"/>
      <c r="C265" s="17"/>
      <c r="D265" s="17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05" customHeight="1">
      <c r="A266" s="16"/>
      <c r="B266" s="17"/>
      <c r="C266" s="17"/>
      <c r="D266" s="17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05" customHeight="1">
      <c r="A267" s="16"/>
      <c r="B267" s="17"/>
      <c r="C267" s="17"/>
      <c r="D267" s="17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05" customHeight="1">
      <c r="A268" s="16"/>
      <c r="B268" s="17"/>
      <c r="C268" s="17"/>
      <c r="D268" s="17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05" customHeight="1">
      <c r="A269" s="16"/>
      <c r="B269" s="17"/>
      <c r="C269" s="17"/>
      <c r="D269" s="17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05" customHeight="1">
      <c r="A270" s="16"/>
      <c r="B270" s="17"/>
      <c r="C270" s="17"/>
      <c r="D270" s="17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05" customHeight="1">
      <c r="A271" s="16"/>
      <c r="B271" s="17"/>
      <c r="C271" s="17"/>
      <c r="D271" s="17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05" customHeight="1">
      <c r="A272" s="16"/>
      <c r="B272" s="17"/>
      <c r="C272" s="17"/>
      <c r="D272" s="17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05" customHeight="1">
      <c r="A273" s="16"/>
      <c r="B273" s="17"/>
      <c r="C273" s="17"/>
      <c r="D273" s="17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05" customHeight="1">
      <c r="A274" s="16"/>
      <c r="B274" s="17"/>
      <c r="C274" s="17"/>
      <c r="D274" s="17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05" customHeight="1">
      <c r="A275" s="16"/>
      <c r="B275" s="17"/>
      <c r="C275" s="17"/>
      <c r="D275" s="17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05" customHeight="1">
      <c r="A276" s="16"/>
      <c r="B276" s="17"/>
      <c r="C276" s="17"/>
      <c r="D276" s="17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05" customHeight="1">
      <c r="A277" s="16"/>
      <c r="B277" s="17"/>
      <c r="C277" s="17"/>
      <c r="D277" s="17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05" customHeight="1">
      <c r="A278" s="16"/>
      <c r="B278" s="17"/>
      <c r="C278" s="17"/>
      <c r="D278" s="17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05" customHeight="1">
      <c r="A279" s="16"/>
      <c r="B279" s="17"/>
      <c r="C279" s="17"/>
      <c r="D279" s="17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05" customHeight="1">
      <c r="A280" s="16"/>
      <c r="B280" s="17"/>
      <c r="C280" s="17"/>
      <c r="D280" s="17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05" customHeight="1">
      <c r="A281" s="16"/>
      <c r="B281" s="17"/>
      <c r="C281" s="17"/>
      <c r="D281" s="17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05" customHeight="1">
      <c r="A282" s="16"/>
      <c r="B282" s="17"/>
      <c r="C282" s="17"/>
      <c r="D282" s="17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05" customHeight="1">
      <c r="A283" s="16"/>
      <c r="B283" s="17"/>
      <c r="C283" s="17"/>
      <c r="D283" s="17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05" customHeight="1">
      <c r="A284" s="16"/>
      <c r="B284" s="17"/>
      <c r="C284" s="17"/>
      <c r="D284" s="17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05" customHeight="1">
      <c r="A285" s="16"/>
      <c r="B285" s="17"/>
      <c r="C285" s="17"/>
      <c r="D285" s="17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05" customHeight="1">
      <c r="A286" s="16"/>
      <c r="B286" s="17"/>
      <c r="C286" s="17"/>
      <c r="D286" s="17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05" customHeight="1">
      <c r="A287" s="16"/>
      <c r="B287" s="17"/>
      <c r="C287" s="17"/>
      <c r="D287" s="17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05" customHeight="1">
      <c r="A288" s="16"/>
      <c r="B288" s="17"/>
      <c r="C288" s="17"/>
      <c r="D288" s="17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05" customHeight="1">
      <c r="A289" s="16"/>
      <c r="B289" s="17"/>
      <c r="C289" s="17"/>
      <c r="D289" s="17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05" customHeight="1">
      <c r="A290" s="16"/>
      <c r="B290" s="17"/>
      <c r="C290" s="17"/>
      <c r="D290" s="17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05" customHeight="1">
      <c r="A291" s="16"/>
      <c r="B291" s="17"/>
      <c r="C291" s="17"/>
      <c r="D291" s="17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05" customHeight="1">
      <c r="A292" s="16"/>
      <c r="B292" s="17"/>
      <c r="C292" s="17"/>
      <c r="D292" s="17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05" customHeight="1">
      <c r="A293" s="16"/>
      <c r="B293" s="17"/>
      <c r="C293" s="17"/>
      <c r="D293" s="17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05" customHeight="1">
      <c r="A294" s="16"/>
      <c r="B294" s="17"/>
      <c r="C294" s="17"/>
      <c r="D294" s="17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05" customHeight="1">
      <c r="A295" s="16"/>
      <c r="B295" s="17"/>
      <c r="C295" s="17"/>
      <c r="D295" s="17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05" customHeight="1">
      <c r="A296" s="16"/>
      <c r="B296" s="17"/>
      <c r="C296" s="17"/>
      <c r="D296" s="17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05" customHeight="1">
      <c r="A297" s="16"/>
      <c r="B297" s="17"/>
      <c r="C297" s="17"/>
      <c r="D297" s="17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05" customHeight="1">
      <c r="A298" s="16"/>
      <c r="B298" s="17"/>
      <c r="C298" s="17"/>
      <c r="D298" s="17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05" customHeight="1">
      <c r="A299" s="16"/>
      <c r="B299" s="17"/>
      <c r="C299" s="17"/>
      <c r="D299" s="17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05" customHeight="1">
      <c r="A300" s="16"/>
      <c r="B300" s="17"/>
      <c r="C300" s="17"/>
      <c r="D300" s="17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05" customHeight="1">
      <c r="A301" s="16"/>
      <c r="B301" s="17"/>
      <c r="C301" s="17"/>
      <c r="D301" s="17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05" customHeight="1">
      <c r="A302" s="16"/>
      <c r="B302" s="17"/>
      <c r="C302" s="17"/>
      <c r="D302" s="17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05" customHeight="1">
      <c r="A303" s="16"/>
      <c r="B303" s="17"/>
      <c r="C303" s="17"/>
      <c r="D303" s="17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05" customHeight="1">
      <c r="A304" s="16"/>
      <c r="B304" s="17"/>
      <c r="C304" s="17"/>
      <c r="D304" s="17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05" customHeight="1">
      <c r="A305" s="16"/>
      <c r="B305" s="17"/>
      <c r="C305" s="17"/>
      <c r="D305" s="17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05" customHeight="1">
      <c r="A306" s="16"/>
      <c r="B306" s="17"/>
      <c r="C306" s="17"/>
      <c r="D306" s="17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05" customHeight="1">
      <c r="A307" s="16"/>
      <c r="B307" s="17"/>
      <c r="C307" s="17"/>
      <c r="D307" s="17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05" customHeight="1">
      <c r="A308" s="16"/>
      <c r="B308" s="17"/>
      <c r="C308" s="17"/>
      <c r="D308" s="17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05" customHeight="1">
      <c r="A309" s="16"/>
      <c r="B309" s="17"/>
      <c r="C309" s="17"/>
      <c r="D309" s="17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05" customHeight="1">
      <c r="A310" s="16"/>
      <c r="B310" s="17"/>
      <c r="C310" s="17"/>
      <c r="D310" s="17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/>
    <row r="312" spans="1:13" ht="15.75" customHeight="1"/>
    <row r="313" spans="1:13" ht="15.75" customHeight="1"/>
    <row r="314" spans="1:13" ht="15.75" customHeight="1"/>
    <row r="315" spans="1:13" ht="15.75" customHeight="1"/>
    <row r="316" spans="1:13" ht="15.75" customHeight="1"/>
    <row r="317" spans="1:13" ht="15.75" customHeight="1"/>
    <row r="318" spans="1:13" ht="15.75" customHeight="1"/>
    <row r="319" spans="1:13" ht="15.75" customHeight="1"/>
    <row r="320" spans="1:1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48:J48"/>
    <mergeCell ref="A49:A50"/>
    <mergeCell ref="C49:C50"/>
    <mergeCell ref="D49:D50"/>
    <mergeCell ref="E49:F49"/>
    <mergeCell ref="G49:H49"/>
    <mergeCell ref="I49:J49"/>
    <mergeCell ref="C1:J1"/>
    <mergeCell ref="A2:A3"/>
    <mergeCell ref="B2:B3"/>
    <mergeCell ref="C2:C3"/>
    <mergeCell ref="D2:D3"/>
    <mergeCell ref="E2:F2"/>
    <mergeCell ref="G2:H2"/>
    <mergeCell ref="I2:J2"/>
  </mergeCells>
  <printOptions horizontalCentered="1"/>
  <pageMargins left="0.54" right="0" top="0" bottom="0.26" header="0" footer="0"/>
  <pageSetup paperSize="9" orientation="landscape"/>
  <headerFooter>
    <oddHeader>&amp;CGIẢI VÔ ĐỊCH VOVINAM        TOÀN QUỐC LẦN THỨ 26 NĂM 2019   Từ ngày 15/10 đến 24/10/2019 tại Nhà thi đấu TDTT tỉnh Quảng Nam.</oddHeader>
  </headerFooter>
  <rowBreaks count="1" manualBreakCount="1">
    <brk id="4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2E5"/>
  </sheetPr>
  <dimension ref="A1:N1000"/>
  <sheetViews>
    <sheetView workbookViewId="0">
      <pane xSplit="3" topLeftCell="D1" activePane="topRight" state="frozen"/>
      <selection pane="topRight" activeCell="E2" sqref="E2:F2"/>
    </sheetView>
  </sheetViews>
  <sheetFormatPr defaultColWidth="12.6328125" defaultRowHeight="15.05" customHeight="1"/>
  <cols>
    <col min="1" max="1" width="6.08984375" customWidth="1"/>
    <col min="2" max="2" width="6.36328125" customWidth="1"/>
    <col min="3" max="3" width="13.36328125" customWidth="1"/>
    <col min="4" max="4" width="15.6328125" customWidth="1"/>
    <col min="5" max="5" width="17" customWidth="1"/>
    <col min="6" max="6" width="21.6328125" customWidth="1"/>
    <col min="7" max="7" width="20.90625" customWidth="1"/>
    <col min="8" max="8" width="19.453125" customWidth="1"/>
    <col min="9" max="9" width="12.90625" customWidth="1"/>
    <col min="10" max="10" width="20.6328125" customWidth="1"/>
    <col min="11" max="14" width="8.6328125" customWidth="1"/>
  </cols>
  <sheetData>
    <row r="1" spans="1:14" ht="42.05" customHeight="1">
      <c r="A1" s="1"/>
      <c r="B1" s="2"/>
      <c r="C1" s="46" t="s">
        <v>171</v>
      </c>
      <c r="D1" s="47"/>
      <c r="E1" s="47"/>
      <c r="F1" s="47"/>
      <c r="G1" s="47"/>
      <c r="H1" s="47"/>
      <c r="I1" s="47"/>
      <c r="J1" s="47"/>
      <c r="K1" s="3"/>
      <c r="L1" s="3"/>
      <c r="M1" s="3"/>
      <c r="N1" s="3"/>
    </row>
    <row r="2" spans="1:14" ht="15.05" customHeight="1">
      <c r="A2" s="54" t="s">
        <v>1</v>
      </c>
      <c r="B2" s="54" t="s">
        <v>2</v>
      </c>
      <c r="C2" s="54" t="s">
        <v>3</v>
      </c>
      <c r="D2" s="54" t="s">
        <v>4</v>
      </c>
      <c r="E2" s="50" t="s">
        <v>5</v>
      </c>
      <c r="F2" s="51"/>
      <c r="G2" s="52" t="s">
        <v>6</v>
      </c>
      <c r="H2" s="51"/>
      <c r="I2" s="53" t="s">
        <v>7</v>
      </c>
      <c r="J2" s="51"/>
      <c r="K2" s="3"/>
      <c r="L2" s="3"/>
      <c r="M2" s="3"/>
      <c r="N2" s="3"/>
    </row>
    <row r="3" spans="1:14" ht="15.05" customHeight="1">
      <c r="A3" s="49"/>
      <c r="B3" s="49"/>
      <c r="C3" s="49"/>
      <c r="D3" s="49"/>
      <c r="E3" s="5" t="s">
        <v>8</v>
      </c>
      <c r="F3" s="5" t="s">
        <v>9</v>
      </c>
      <c r="G3" s="6" t="s">
        <v>8</v>
      </c>
      <c r="H3" s="6" t="s">
        <v>9</v>
      </c>
      <c r="I3" s="7" t="s">
        <v>8</v>
      </c>
      <c r="J3" s="21" t="s">
        <v>9</v>
      </c>
      <c r="K3" s="22"/>
      <c r="L3" s="22"/>
      <c r="M3" s="22"/>
      <c r="N3" s="22"/>
    </row>
    <row r="4" spans="1:14" ht="15.05" customHeight="1">
      <c r="A4" s="1">
        <v>1</v>
      </c>
      <c r="B4" s="10"/>
      <c r="C4" s="10" t="s">
        <v>172</v>
      </c>
      <c r="D4" s="10" t="s">
        <v>11</v>
      </c>
      <c r="E4" s="11" t="s">
        <v>173</v>
      </c>
      <c r="F4" s="11" t="s">
        <v>40</v>
      </c>
      <c r="G4" s="12" t="s">
        <v>174</v>
      </c>
      <c r="H4" s="12" t="s">
        <v>70</v>
      </c>
      <c r="I4" s="12" t="s">
        <v>173</v>
      </c>
      <c r="J4" s="12" t="s">
        <v>40</v>
      </c>
      <c r="K4" s="3"/>
      <c r="L4" s="3"/>
      <c r="M4" s="3"/>
      <c r="N4" s="3"/>
    </row>
    <row r="5" spans="1:14" ht="15.05" customHeight="1">
      <c r="A5" s="1">
        <v>2</v>
      </c>
      <c r="B5" s="10"/>
      <c r="C5" s="10" t="s">
        <v>172</v>
      </c>
      <c r="D5" s="10" t="s">
        <v>11</v>
      </c>
      <c r="E5" s="11" t="s">
        <v>175</v>
      </c>
      <c r="F5" s="11" t="s">
        <v>88</v>
      </c>
      <c r="G5" s="12" t="s">
        <v>176</v>
      </c>
      <c r="H5" s="12" t="s">
        <v>21</v>
      </c>
      <c r="I5" s="12" t="s">
        <v>175</v>
      </c>
      <c r="J5" s="12" t="s">
        <v>88</v>
      </c>
      <c r="K5" s="3"/>
      <c r="L5" s="3"/>
      <c r="M5" s="3"/>
      <c r="N5" s="3"/>
    </row>
    <row r="6" spans="1:14" ht="15.05" customHeight="1">
      <c r="A6" s="1">
        <v>3</v>
      </c>
      <c r="B6" s="10"/>
      <c r="C6" s="10" t="s">
        <v>177</v>
      </c>
      <c r="D6" s="10" t="s">
        <v>11</v>
      </c>
      <c r="E6" s="12" t="s">
        <v>178</v>
      </c>
      <c r="F6" s="12" t="s">
        <v>62</v>
      </c>
      <c r="G6" s="11" t="s">
        <v>179</v>
      </c>
      <c r="H6" s="11" t="s">
        <v>19</v>
      </c>
      <c r="I6" s="12" t="s">
        <v>179</v>
      </c>
      <c r="J6" s="12" t="s">
        <v>19</v>
      </c>
      <c r="K6" s="3"/>
      <c r="L6" s="3"/>
      <c r="M6" s="3"/>
      <c r="N6" s="3"/>
    </row>
    <row r="7" spans="1:14" ht="15.05" customHeight="1">
      <c r="A7" s="1">
        <v>4</v>
      </c>
      <c r="B7" s="10"/>
      <c r="C7" s="10" t="s">
        <v>177</v>
      </c>
      <c r="D7" s="10" t="s">
        <v>11</v>
      </c>
      <c r="E7" s="12" t="s">
        <v>180</v>
      </c>
      <c r="F7" s="12" t="s">
        <v>40</v>
      </c>
      <c r="G7" s="11" t="s">
        <v>181</v>
      </c>
      <c r="H7" s="11" t="s">
        <v>90</v>
      </c>
      <c r="I7" s="12" t="s">
        <v>181</v>
      </c>
      <c r="J7" s="12" t="s">
        <v>90</v>
      </c>
      <c r="K7" s="3"/>
      <c r="L7" s="3"/>
      <c r="M7" s="3"/>
      <c r="N7" s="3"/>
    </row>
    <row r="8" spans="1:14" ht="15.05" customHeight="1">
      <c r="A8" s="1">
        <v>5</v>
      </c>
      <c r="B8" s="10"/>
      <c r="C8" s="10" t="s">
        <v>182</v>
      </c>
      <c r="D8" s="10" t="s">
        <v>11</v>
      </c>
      <c r="E8" s="11" t="s">
        <v>183</v>
      </c>
      <c r="F8" s="11" t="s">
        <v>27</v>
      </c>
      <c r="G8" s="12" t="s">
        <v>184</v>
      </c>
      <c r="H8" s="12" t="s">
        <v>15</v>
      </c>
      <c r="I8" s="12" t="s">
        <v>183</v>
      </c>
      <c r="J8" s="12" t="s">
        <v>27</v>
      </c>
      <c r="K8" s="3"/>
      <c r="L8" s="3"/>
      <c r="M8" s="3"/>
      <c r="N8" s="3"/>
    </row>
    <row r="9" spans="1:14" ht="15.05" customHeight="1">
      <c r="A9" s="1">
        <v>6</v>
      </c>
      <c r="B9" s="10"/>
      <c r="C9" s="10" t="s">
        <v>185</v>
      </c>
      <c r="D9" s="10" t="s">
        <v>11</v>
      </c>
      <c r="E9" s="12" t="s">
        <v>186</v>
      </c>
      <c r="F9" s="12" t="s">
        <v>76</v>
      </c>
      <c r="G9" s="11" t="s">
        <v>187</v>
      </c>
      <c r="H9" s="11" t="s">
        <v>19</v>
      </c>
      <c r="I9" s="12" t="s">
        <v>188</v>
      </c>
      <c r="J9" s="12" t="s">
        <v>19</v>
      </c>
      <c r="K9" s="3"/>
      <c r="L9" s="3"/>
      <c r="M9" s="3"/>
      <c r="N9" s="3"/>
    </row>
    <row r="10" spans="1:14" ht="15.05" customHeight="1">
      <c r="A10" s="1">
        <v>7</v>
      </c>
      <c r="B10" s="10"/>
      <c r="C10" s="10" t="s">
        <v>185</v>
      </c>
      <c r="D10" s="10" t="s">
        <v>11</v>
      </c>
      <c r="E10" s="12" t="s">
        <v>189</v>
      </c>
      <c r="F10" s="12" t="s">
        <v>70</v>
      </c>
      <c r="G10" s="11" t="s">
        <v>190</v>
      </c>
      <c r="H10" s="11" t="s">
        <v>30</v>
      </c>
      <c r="I10" s="12" t="s">
        <v>191</v>
      </c>
      <c r="J10" s="12" t="s">
        <v>30</v>
      </c>
      <c r="K10" s="3"/>
      <c r="L10" s="3"/>
      <c r="M10" s="3"/>
      <c r="N10" s="3"/>
    </row>
    <row r="11" spans="1:14" ht="15.05" customHeight="1">
      <c r="A11" s="1">
        <v>8</v>
      </c>
      <c r="B11" s="10"/>
      <c r="C11" s="10" t="s">
        <v>192</v>
      </c>
      <c r="D11" s="10" t="s">
        <v>11</v>
      </c>
      <c r="E11" s="12" t="s">
        <v>193</v>
      </c>
      <c r="F11" s="12" t="s">
        <v>27</v>
      </c>
      <c r="G11" s="11" t="s">
        <v>194</v>
      </c>
      <c r="H11" s="11" t="s">
        <v>42</v>
      </c>
      <c r="I11" s="12" t="s">
        <v>194</v>
      </c>
      <c r="J11" s="12" t="s">
        <v>42</v>
      </c>
      <c r="K11" s="3"/>
      <c r="L11" s="3"/>
      <c r="M11" s="3"/>
      <c r="N11" s="3"/>
    </row>
    <row r="12" spans="1:14" ht="15.05" customHeight="1">
      <c r="A12" s="1">
        <v>9</v>
      </c>
      <c r="B12" s="10"/>
      <c r="C12" s="10" t="s">
        <v>192</v>
      </c>
      <c r="D12" s="10" t="s">
        <v>11</v>
      </c>
      <c r="E12" s="11" t="s">
        <v>195</v>
      </c>
      <c r="F12" s="11" t="s">
        <v>62</v>
      </c>
      <c r="G12" s="12" t="s">
        <v>196</v>
      </c>
      <c r="H12" s="12" t="s">
        <v>15</v>
      </c>
      <c r="I12" s="12" t="s">
        <v>195</v>
      </c>
      <c r="J12" s="12" t="s">
        <v>62</v>
      </c>
      <c r="K12" s="3"/>
      <c r="L12" s="3"/>
      <c r="M12" s="3"/>
      <c r="N12" s="3"/>
    </row>
    <row r="13" spans="1:14" ht="15.05" customHeight="1">
      <c r="A13" s="1">
        <v>10</v>
      </c>
      <c r="B13" s="10"/>
      <c r="C13" s="10" t="s">
        <v>192</v>
      </c>
      <c r="D13" s="10" t="s">
        <v>11</v>
      </c>
      <c r="E13" s="12" t="s">
        <v>197</v>
      </c>
      <c r="F13" s="12" t="s">
        <v>40</v>
      </c>
      <c r="G13" s="11" t="s">
        <v>31</v>
      </c>
      <c r="H13" s="11" t="s">
        <v>88</v>
      </c>
      <c r="I13" s="12" t="s">
        <v>31</v>
      </c>
      <c r="J13" s="12" t="s">
        <v>88</v>
      </c>
      <c r="K13" s="3"/>
      <c r="L13" s="3"/>
      <c r="M13" s="3"/>
      <c r="N13" s="3"/>
    </row>
    <row r="14" spans="1:14" ht="15.05" customHeight="1">
      <c r="A14" s="1">
        <v>11</v>
      </c>
      <c r="B14" s="10"/>
      <c r="C14" s="10" t="s">
        <v>192</v>
      </c>
      <c r="D14" s="10" t="s">
        <v>11</v>
      </c>
      <c r="E14" s="11" t="s">
        <v>198</v>
      </c>
      <c r="F14" s="11" t="s">
        <v>19</v>
      </c>
      <c r="G14" s="12" t="s">
        <v>199</v>
      </c>
      <c r="H14" s="12" t="s">
        <v>65</v>
      </c>
      <c r="I14" s="12" t="s">
        <v>198</v>
      </c>
      <c r="J14" s="12" t="s">
        <v>19</v>
      </c>
      <c r="K14" s="3"/>
      <c r="L14" s="3"/>
      <c r="M14" s="3"/>
      <c r="N14" s="3"/>
    </row>
    <row r="15" spans="1:14" ht="15.05" customHeight="1">
      <c r="A15" s="1">
        <v>12</v>
      </c>
      <c r="B15" s="10"/>
      <c r="C15" s="10" t="s">
        <v>172</v>
      </c>
      <c r="D15" s="10" t="s">
        <v>11</v>
      </c>
      <c r="E15" s="11" t="s">
        <v>173</v>
      </c>
      <c r="F15" s="11" t="s">
        <v>40</v>
      </c>
      <c r="G15" s="12" t="s">
        <v>200</v>
      </c>
      <c r="H15" s="12" t="s">
        <v>62</v>
      </c>
      <c r="I15" s="12" t="s">
        <v>173</v>
      </c>
      <c r="J15" s="12" t="s">
        <v>40</v>
      </c>
      <c r="K15" s="3"/>
      <c r="L15" s="3"/>
      <c r="M15" s="3"/>
      <c r="N15" s="3"/>
    </row>
    <row r="16" spans="1:14" ht="15.05" customHeight="1">
      <c r="A16" s="1">
        <v>13</v>
      </c>
      <c r="B16" s="10"/>
      <c r="C16" s="10" t="s">
        <v>172</v>
      </c>
      <c r="D16" s="10" t="s">
        <v>11</v>
      </c>
      <c r="E16" s="11" t="s">
        <v>201</v>
      </c>
      <c r="F16" s="11" t="s">
        <v>59</v>
      </c>
      <c r="G16" s="12" t="s">
        <v>202</v>
      </c>
      <c r="H16" s="12" t="s">
        <v>15</v>
      </c>
      <c r="I16" s="12" t="s">
        <v>201</v>
      </c>
      <c r="J16" s="12" t="s">
        <v>59</v>
      </c>
      <c r="K16" s="3"/>
      <c r="L16" s="3"/>
      <c r="M16" s="3"/>
      <c r="N16" s="3"/>
    </row>
    <row r="17" spans="1:14" ht="15.05" customHeight="1">
      <c r="A17" s="1">
        <v>14</v>
      </c>
      <c r="B17" s="10"/>
      <c r="C17" s="10" t="s">
        <v>172</v>
      </c>
      <c r="D17" s="10" t="s">
        <v>11</v>
      </c>
      <c r="E17" s="11" t="s">
        <v>203</v>
      </c>
      <c r="F17" s="11" t="s">
        <v>101</v>
      </c>
      <c r="G17" s="12" t="s">
        <v>204</v>
      </c>
      <c r="H17" s="12" t="s">
        <v>19</v>
      </c>
      <c r="I17" s="12" t="s">
        <v>203</v>
      </c>
      <c r="J17" s="12" t="s">
        <v>101</v>
      </c>
      <c r="K17" s="3"/>
      <c r="L17" s="3"/>
      <c r="M17" s="3"/>
      <c r="N17" s="3"/>
    </row>
    <row r="18" spans="1:14" ht="15.05" customHeight="1">
      <c r="A18" s="1">
        <v>15</v>
      </c>
      <c r="B18" s="10"/>
      <c r="C18" s="10" t="s">
        <v>172</v>
      </c>
      <c r="D18" s="10" t="s">
        <v>11</v>
      </c>
      <c r="E18" s="11" t="s">
        <v>205</v>
      </c>
      <c r="F18" s="11" t="s">
        <v>168</v>
      </c>
      <c r="G18" s="12" t="s">
        <v>175</v>
      </c>
      <c r="H18" s="12" t="s">
        <v>88</v>
      </c>
      <c r="I18" s="12" t="s">
        <v>205</v>
      </c>
      <c r="J18" s="12" t="s">
        <v>168</v>
      </c>
      <c r="K18" s="3"/>
      <c r="L18" s="3"/>
      <c r="M18" s="3"/>
      <c r="N18" s="3"/>
    </row>
    <row r="19" spans="1:14" ht="15.05" customHeight="1">
      <c r="A19" s="1">
        <v>16</v>
      </c>
      <c r="B19" s="10"/>
      <c r="C19" s="10" t="s">
        <v>206</v>
      </c>
      <c r="D19" s="10" t="s">
        <v>11</v>
      </c>
      <c r="E19" s="11" t="s">
        <v>207</v>
      </c>
      <c r="F19" s="11" t="s">
        <v>44</v>
      </c>
      <c r="G19" s="12" t="s">
        <v>208</v>
      </c>
      <c r="H19" s="12" t="s">
        <v>88</v>
      </c>
      <c r="I19" s="12" t="s">
        <v>207</v>
      </c>
      <c r="J19" s="12" t="s">
        <v>44</v>
      </c>
      <c r="K19" s="3"/>
      <c r="L19" s="3"/>
      <c r="M19" s="3"/>
      <c r="N19" s="3"/>
    </row>
    <row r="20" spans="1:14" ht="15.05" customHeight="1">
      <c r="A20" s="1">
        <v>17</v>
      </c>
      <c r="B20" s="10"/>
      <c r="C20" s="10" t="s">
        <v>206</v>
      </c>
      <c r="D20" s="10" t="s">
        <v>11</v>
      </c>
      <c r="E20" s="12" t="s">
        <v>209</v>
      </c>
      <c r="F20" s="12" t="s">
        <v>19</v>
      </c>
      <c r="G20" s="12" t="s">
        <v>210</v>
      </c>
      <c r="H20" s="12" t="s">
        <v>62</v>
      </c>
      <c r="I20" s="12" t="s">
        <v>210</v>
      </c>
      <c r="J20" s="12" t="s">
        <v>62</v>
      </c>
      <c r="K20" s="3"/>
      <c r="L20" s="3"/>
      <c r="M20" s="3"/>
      <c r="N20" s="3"/>
    </row>
    <row r="21" spans="1:14" ht="15.05" customHeight="1">
      <c r="A21" s="1">
        <v>18</v>
      </c>
      <c r="B21" s="10"/>
      <c r="C21" s="10" t="s">
        <v>206</v>
      </c>
      <c r="D21" s="10" t="s">
        <v>11</v>
      </c>
      <c r="E21" s="12" t="s">
        <v>211</v>
      </c>
      <c r="F21" s="12" t="s">
        <v>15</v>
      </c>
      <c r="G21" s="11" t="s">
        <v>212</v>
      </c>
      <c r="H21" s="11" t="s">
        <v>40</v>
      </c>
      <c r="I21" s="12" t="s">
        <v>212</v>
      </c>
      <c r="J21" s="12" t="s">
        <v>40</v>
      </c>
      <c r="K21" s="3"/>
      <c r="L21" s="3"/>
      <c r="M21" s="3"/>
      <c r="N21" s="3"/>
    </row>
    <row r="22" spans="1:14" ht="15.05" customHeight="1">
      <c r="A22" s="1">
        <v>19</v>
      </c>
      <c r="B22" s="10"/>
      <c r="C22" s="10" t="s">
        <v>213</v>
      </c>
      <c r="D22" s="10" t="s">
        <v>11</v>
      </c>
      <c r="E22" s="11" t="s">
        <v>214</v>
      </c>
      <c r="F22" s="11" t="s">
        <v>65</v>
      </c>
      <c r="G22" s="12" t="s">
        <v>215</v>
      </c>
      <c r="H22" s="12" t="s">
        <v>27</v>
      </c>
      <c r="I22" s="12" t="s">
        <v>214</v>
      </c>
      <c r="J22" s="12" t="s">
        <v>65</v>
      </c>
      <c r="K22" s="3"/>
      <c r="L22" s="3"/>
      <c r="M22" s="3"/>
      <c r="N22" s="3"/>
    </row>
    <row r="23" spans="1:14" ht="15.05" customHeight="1">
      <c r="A23" s="1">
        <v>20</v>
      </c>
      <c r="B23" s="10"/>
      <c r="C23" s="10" t="s">
        <v>216</v>
      </c>
      <c r="D23" s="10" t="s">
        <v>11</v>
      </c>
      <c r="E23" s="11" t="s">
        <v>217</v>
      </c>
      <c r="F23" s="11" t="s">
        <v>90</v>
      </c>
      <c r="G23" s="12" t="s">
        <v>218</v>
      </c>
      <c r="H23" s="12" t="s">
        <v>15</v>
      </c>
      <c r="I23" s="12" t="s">
        <v>217</v>
      </c>
      <c r="J23" s="12" t="s">
        <v>90</v>
      </c>
      <c r="K23" s="3"/>
      <c r="L23" s="3"/>
      <c r="M23" s="3"/>
      <c r="N23" s="3"/>
    </row>
    <row r="24" spans="1:14" ht="15.05" customHeight="1">
      <c r="A24" s="1">
        <v>21</v>
      </c>
      <c r="B24" s="10"/>
      <c r="C24" s="10" t="s">
        <v>216</v>
      </c>
      <c r="D24" s="10" t="s">
        <v>11</v>
      </c>
      <c r="E24" s="12" t="s">
        <v>219</v>
      </c>
      <c r="F24" s="12" t="s">
        <v>40</v>
      </c>
      <c r="G24" s="11" t="s">
        <v>220</v>
      </c>
      <c r="H24" s="11" t="s">
        <v>19</v>
      </c>
      <c r="I24" s="12" t="s">
        <v>220</v>
      </c>
      <c r="J24" s="12" t="s">
        <v>19</v>
      </c>
      <c r="K24" s="3"/>
      <c r="L24" s="3"/>
      <c r="M24" s="3"/>
      <c r="N24" s="3"/>
    </row>
    <row r="25" spans="1:14" ht="15.05" customHeight="1">
      <c r="A25" s="1">
        <v>22</v>
      </c>
      <c r="B25" s="10"/>
      <c r="C25" s="10" t="s">
        <v>177</v>
      </c>
      <c r="D25" s="10" t="s">
        <v>11</v>
      </c>
      <c r="E25" s="12" t="s">
        <v>179</v>
      </c>
      <c r="F25" s="12" t="s">
        <v>19</v>
      </c>
      <c r="G25" s="11" t="s">
        <v>221</v>
      </c>
      <c r="H25" s="11" t="s">
        <v>101</v>
      </c>
      <c r="I25" s="12" t="s">
        <v>221</v>
      </c>
      <c r="J25" s="12" t="s">
        <v>101</v>
      </c>
      <c r="K25" s="3"/>
      <c r="L25" s="3"/>
      <c r="M25" s="3"/>
      <c r="N25" s="3"/>
    </row>
    <row r="26" spans="1:14" ht="15.05" customHeight="1">
      <c r="A26" s="1">
        <v>23</v>
      </c>
      <c r="B26" s="10"/>
      <c r="C26" s="10" t="s">
        <v>177</v>
      </c>
      <c r="D26" s="10" t="s">
        <v>11</v>
      </c>
      <c r="E26" s="11" t="s">
        <v>222</v>
      </c>
      <c r="F26" s="11" t="s">
        <v>27</v>
      </c>
      <c r="G26" s="12" t="s">
        <v>223</v>
      </c>
      <c r="H26" s="12" t="s">
        <v>168</v>
      </c>
      <c r="I26" s="12" t="s">
        <v>222</v>
      </c>
      <c r="J26" s="12" t="s">
        <v>27</v>
      </c>
      <c r="K26" s="3"/>
      <c r="L26" s="3"/>
      <c r="M26" s="3"/>
      <c r="N26" s="3"/>
    </row>
    <row r="27" spans="1:14" ht="15.05" customHeight="1">
      <c r="A27" s="1">
        <v>24</v>
      </c>
      <c r="B27" s="10"/>
      <c r="C27" s="10" t="s">
        <v>177</v>
      </c>
      <c r="D27" s="10" t="s">
        <v>11</v>
      </c>
      <c r="E27" s="12" t="s">
        <v>224</v>
      </c>
      <c r="F27" s="12" t="s">
        <v>88</v>
      </c>
      <c r="G27" s="11" t="s">
        <v>225</v>
      </c>
      <c r="H27" s="11" t="s">
        <v>34</v>
      </c>
      <c r="I27" s="12" t="s">
        <v>225</v>
      </c>
      <c r="J27" s="12" t="s">
        <v>34</v>
      </c>
      <c r="K27" s="3"/>
      <c r="L27" s="3"/>
      <c r="M27" s="3"/>
      <c r="N27" s="3"/>
    </row>
    <row r="28" spans="1:14" ht="15.05" customHeight="1">
      <c r="A28" s="1">
        <v>25</v>
      </c>
      <c r="B28" s="10"/>
      <c r="C28" s="10" t="s">
        <v>177</v>
      </c>
      <c r="D28" s="10" t="s">
        <v>11</v>
      </c>
      <c r="E28" s="11" t="s">
        <v>226</v>
      </c>
      <c r="F28" s="11" t="s">
        <v>70</v>
      </c>
      <c r="G28" s="12" t="s">
        <v>181</v>
      </c>
      <c r="H28" s="12" t="s">
        <v>90</v>
      </c>
      <c r="I28" s="12" t="s">
        <v>226</v>
      </c>
      <c r="J28" s="12" t="s">
        <v>70</v>
      </c>
      <c r="K28" s="3"/>
      <c r="L28" s="3"/>
      <c r="M28" s="3"/>
      <c r="N28" s="3"/>
    </row>
    <row r="29" spans="1:14" ht="15.05" customHeight="1">
      <c r="A29" s="1">
        <v>26</v>
      </c>
      <c r="B29" s="10"/>
      <c r="C29" s="10" t="s">
        <v>182</v>
      </c>
      <c r="D29" s="10" t="s">
        <v>11</v>
      </c>
      <c r="E29" s="12" t="s">
        <v>183</v>
      </c>
      <c r="F29" s="12" t="s">
        <v>27</v>
      </c>
      <c r="G29" s="11" t="s">
        <v>227</v>
      </c>
      <c r="H29" s="11" t="s">
        <v>101</v>
      </c>
      <c r="I29" s="12" t="s">
        <v>227</v>
      </c>
      <c r="J29" s="12" t="s">
        <v>101</v>
      </c>
      <c r="K29" s="3"/>
      <c r="L29" s="3"/>
      <c r="M29" s="3"/>
      <c r="N29" s="3"/>
    </row>
    <row r="30" spans="1:14" ht="15.05" customHeight="1">
      <c r="A30" s="1">
        <v>27</v>
      </c>
      <c r="B30" s="10"/>
      <c r="C30" s="10" t="s">
        <v>182</v>
      </c>
      <c r="D30" s="10" t="s">
        <v>11</v>
      </c>
      <c r="E30" s="11" t="s">
        <v>228</v>
      </c>
      <c r="F30" s="11" t="s">
        <v>34</v>
      </c>
      <c r="G30" s="12" t="s">
        <v>57</v>
      </c>
      <c r="H30" s="12" t="s">
        <v>17</v>
      </c>
      <c r="I30" s="12" t="s">
        <v>228</v>
      </c>
      <c r="J30" s="12" t="s">
        <v>34</v>
      </c>
      <c r="K30" s="3"/>
      <c r="L30" s="3"/>
      <c r="M30" s="3"/>
      <c r="N30" s="3"/>
    </row>
    <row r="31" spans="1:14" ht="15.05" customHeight="1">
      <c r="A31" s="1">
        <v>28</v>
      </c>
      <c r="B31" s="10"/>
      <c r="C31" s="10" t="s">
        <v>182</v>
      </c>
      <c r="D31" s="10" t="s">
        <v>11</v>
      </c>
      <c r="E31" s="11" t="s">
        <v>229</v>
      </c>
      <c r="F31" s="11" t="s">
        <v>70</v>
      </c>
      <c r="G31" s="12" t="s">
        <v>230</v>
      </c>
      <c r="H31" s="12" t="s">
        <v>51</v>
      </c>
      <c r="I31" s="12" t="s">
        <v>229</v>
      </c>
      <c r="J31" s="12" t="s">
        <v>70</v>
      </c>
      <c r="K31" s="3"/>
      <c r="L31" s="3"/>
      <c r="M31" s="3"/>
      <c r="N31" s="3"/>
    </row>
    <row r="32" spans="1:14" ht="15.05" customHeight="1">
      <c r="A32" s="1">
        <v>29</v>
      </c>
      <c r="B32" s="10"/>
      <c r="C32" s="10" t="s">
        <v>182</v>
      </c>
      <c r="D32" s="10" t="s">
        <v>11</v>
      </c>
      <c r="E32" s="12" t="s">
        <v>231</v>
      </c>
      <c r="F32" s="12" t="s">
        <v>44</v>
      </c>
      <c r="G32" s="11" t="s">
        <v>232</v>
      </c>
      <c r="H32" s="11" t="s">
        <v>40</v>
      </c>
      <c r="I32" s="12" t="s">
        <v>232</v>
      </c>
      <c r="J32" s="12" t="s">
        <v>40</v>
      </c>
      <c r="K32" s="3"/>
      <c r="L32" s="3"/>
      <c r="M32" s="3"/>
      <c r="N32" s="3"/>
    </row>
    <row r="33" spans="1:14" ht="15.05" customHeight="1">
      <c r="A33" s="1">
        <v>30</v>
      </c>
      <c r="B33" s="10"/>
      <c r="C33" s="10" t="s">
        <v>185</v>
      </c>
      <c r="D33" s="10" t="s">
        <v>78</v>
      </c>
      <c r="E33" s="15" t="s">
        <v>188</v>
      </c>
      <c r="F33" s="15" t="s">
        <v>19</v>
      </c>
      <c r="G33" s="11" t="s">
        <v>233</v>
      </c>
      <c r="H33" s="11" t="s">
        <v>88</v>
      </c>
      <c r="I33" s="12" t="s">
        <v>233</v>
      </c>
      <c r="J33" s="12" t="s">
        <v>88</v>
      </c>
      <c r="K33" s="3"/>
      <c r="L33" s="3"/>
      <c r="M33" s="3"/>
      <c r="N33" s="3"/>
    </row>
    <row r="34" spans="1:14" ht="15.05" customHeight="1">
      <c r="A34" s="1">
        <v>31</v>
      </c>
      <c r="B34" s="10"/>
      <c r="C34" s="10" t="s">
        <v>185</v>
      </c>
      <c r="D34" s="10" t="s">
        <v>78</v>
      </c>
      <c r="E34" s="12" t="s">
        <v>234</v>
      </c>
      <c r="F34" s="12" t="s">
        <v>40</v>
      </c>
      <c r="G34" s="11" t="s">
        <v>191</v>
      </c>
      <c r="H34" s="11" t="s">
        <v>30</v>
      </c>
      <c r="I34" s="12" t="s">
        <v>191</v>
      </c>
      <c r="J34" s="12" t="s">
        <v>30</v>
      </c>
      <c r="K34" s="3"/>
      <c r="L34" s="3"/>
      <c r="M34" s="3"/>
      <c r="N34" s="3"/>
    </row>
    <row r="35" spans="1:14" ht="15.05" customHeight="1">
      <c r="A35" s="1">
        <v>32</v>
      </c>
      <c r="B35" s="10"/>
      <c r="C35" s="10" t="s">
        <v>192</v>
      </c>
      <c r="D35" s="10" t="s">
        <v>78</v>
      </c>
      <c r="E35" s="11" t="s">
        <v>194</v>
      </c>
      <c r="F35" s="11" t="s">
        <v>42</v>
      </c>
      <c r="G35" s="12" t="s">
        <v>195</v>
      </c>
      <c r="H35" s="12" t="s">
        <v>62</v>
      </c>
      <c r="I35" s="12" t="s">
        <v>194</v>
      </c>
      <c r="J35" s="12" t="s">
        <v>42</v>
      </c>
      <c r="K35" s="3"/>
      <c r="L35" s="3"/>
      <c r="M35" s="3"/>
      <c r="N35" s="3"/>
    </row>
    <row r="36" spans="1:14" ht="15.05" customHeight="1">
      <c r="A36" s="1">
        <v>33</v>
      </c>
      <c r="B36" s="10"/>
      <c r="C36" s="10" t="s">
        <v>192</v>
      </c>
      <c r="D36" s="10" t="s">
        <v>78</v>
      </c>
      <c r="E36" s="12" t="s">
        <v>31</v>
      </c>
      <c r="F36" s="12" t="s">
        <v>88</v>
      </c>
      <c r="G36" s="11" t="s">
        <v>198</v>
      </c>
      <c r="H36" s="11" t="s">
        <v>19</v>
      </c>
      <c r="I36" s="12" t="s">
        <v>198</v>
      </c>
      <c r="J36" s="12" t="s">
        <v>19</v>
      </c>
      <c r="K36" s="3"/>
      <c r="L36" s="3"/>
      <c r="M36" s="3"/>
      <c r="N36" s="3"/>
    </row>
    <row r="37" spans="1:14" ht="15.05" customHeight="1">
      <c r="A37" s="1">
        <v>34</v>
      </c>
      <c r="B37" s="10"/>
      <c r="C37" s="10" t="s">
        <v>172</v>
      </c>
      <c r="D37" s="10" t="s">
        <v>78</v>
      </c>
      <c r="E37" s="12" t="s">
        <v>173</v>
      </c>
      <c r="F37" s="12" t="s">
        <v>40</v>
      </c>
      <c r="G37" s="11" t="s">
        <v>201</v>
      </c>
      <c r="H37" s="11" t="s">
        <v>59</v>
      </c>
      <c r="I37" s="12" t="s">
        <v>201</v>
      </c>
      <c r="J37" s="12" t="s">
        <v>59</v>
      </c>
      <c r="K37" s="3"/>
      <c r="L37" s="3"/>
      <c r="M37" s="3"/>
      <c r="N37" s="3"/>
    </row>
    <row r="38" spans="1:14" ht="15.05" customHeight="1">
      <c r="A38" s="1">
        <v>35</v>
      </c>
      <c r="B38" s="10"/>
      <c r="C38" s="10" t="s">
        <v>172</v>
      </c>
      <c r="D38" s="10" t="s">
        <v>78</v>
      </c>
      <c r="E38" s="11" t="s">
        <v>203</v>
      </c>
      <c r="F38" s="11" t="s">
        <v>101</v>
      </c>
      <c r="G38" s="12" t="s">
        <v>205</v>
      </c>
      <c r="H38" s="12" t="s">
        <v>168</v>
      </c>
      <c r="I38" s="12" t="s">
        <v>203</v>
      </c>
      <c r="J38" s="12" t="s">
        <v>101</v>
      </c>
      <c r="K38" s="3"/>
      <c r="L38" s="3"/>
      <c r="M38" s="3"/>
      <c r="N38" s="3"/>
    </row>
    <row r="39" spans="1:14" ht="15.05" customHeight="1">
      <c r="A39" s="1">
        <v>36</v>
      </c>
      <c r="B39" s="10"/>
      <c r="C39" s="10" t="s">
        <v>206</v>
      </c>
      <c r="D39" s="10" t="s">
        <v>78</v>
      </c>
      <c r="E39" s="11" t="s">
        <v>207</v>
      </c>
      <c r="F39" s="11" t="s">
        <v>44</v>
      </c>
      <c r="G39" s="12" t="s">
        <v>210</v>
      </c>
      <c r="H39" s="12" t="s">
        <v>62</v>
      </c>
      <c r="I39" s="12" t="s">
        <v>207</v>
      </c>
      <c r="J39" s="12" t="s">
        <v>44</v>
      </c>
      <c r="K39" s="3"/>
      <c r="L39" s="3"/>
      <c r="M39" s="3"/>
      <c r="N39" s="3"/>
    </row>
    <row r="40" spans="1:14" ht="15.05" customHeight="1">
      <c r="A40" s="1">
        <v>37</v>
      </c>
      <c r="B40" s="10"/>
      <c r="C40" s="10" t="s">
        <v>206</v>
      </c>
      <c r="D40" s="10" t="s">
        <v>78</v>
      </c>
      <c r="E40" s="12" t="s">
        <v>235</v>
      </c>
      <c r="F40" s="12" t="s">
        <v>101</v>
      </c>
      <c r="G40" s="11" t="s">
        <v>212</v>
      </c>
      <c r="H40" s="11" t="s">
        <v>40</v>
      </c>
      <c r="I40" s="12" t="s">
        <v>212</v>
      </c>
      <c r="J40" s="12" t="s">
        <v>40</v>
      </c>
      <c r="K40" s="3"/>
      <c r="L40" s="3"/>
      <c r="M40" s="3"/>
      <c r="N40" s="3"/>
    </row>
    <row r="41" spans="1:14" ht="15.05" customHeight="1">
      <c r="A41" s="1">
        <v>38</v>
      </c>
      <c r="B41" s="10"/>
      <c r="C41" s="10" t="s">
        <v>213</v>
      </c>
      <c r="D41" s="10" t="s">
        <v>78</v>
      </c>
      <c r="E41" s="11" t="s">
        <v>214</v>
      </c>
      <c r="F41" s="11" t="s">
        <v>65</v>
      </c>
      <c r="G41" s="12" t="s">
        <v>236</v>
      </c>
      <c r="H41" s="12" t="s">
        <v>17</v>
      </c>
      <c r="I41" s="12" t="s">
        <v>214</v>
      </c>
      <c r="J41" s="12" t="s">
        <v>65</v>
      </c>
      <c r="K41" s="3"/>
      <c r="L41" s="3"/>
      <c r="M41" s="3"/>
      <c r="N41" s="3"/>
    </row>
    <row r="42" spans="1:14" ht="15.05" customHeight="1">
      <c r="A42" s="1">
        <v>39</v>
      </c>
      <c r="B42" s="10"/>
      <c r="C42" s="10" t="s">
        <v>213</v>
      </c>
      <c r="D42" s="10" t="s">
        <v>78</v>
      </c>
      <c r="E42" s="12" t="s">
        <v>225</v>
      </c>
      <c r="F42" s="12" t="s">
        <v>40</v>
      </c>
      <c r="G42" s="11" t="s">
        <v>237</v>
      </c>
      <c r="H42" s="11" t="s">
        <v>90</v>
      </c>
      <c r="I42" s="12" t="s">
        <v>237</v>
      </c>
      <c r="J42" s="12" t="s">
        <v>90</v>
      </c>
      <c r="K42" s="3"/>
      <c r="L42" s="3"/>
      <c r="M42" s="3"/>
      <c r="N42" s="3"/>
    </row>
    <row r="43" spans="1:14" ht="15.05" customHeight="1">
      <c r="A43" s="1">
        <v>40</v>
      </c>
      <c r="B43" s="10"/>
      <c r="C43" s="10" t="s">
        <v>216</v>
      </c>
      <c r="D43" s="10" t="s">
        <v>78</v>
      </c>
      <c r="E43" s="12" t="s">
        <v>217</v>
      </c>
      <c r="F43" s="12" t="s">
        <v>90</v>
      </c>
      <c r="G43" s="11" t="s">
        <v>238</v>
      </c>
      <c r="H43" s="11" t="s">
        <v>21</v>
      </c>
      <c r="I43" s="12" t="s">
        <v>238</v>
      </c>
      <c r="J43" s="12" t="s">
        <v>21</v>
      </c>
      <c r="K43" s="3"/>
      <c r="L43" s="3"/>
      <c r="M43" s="3"/>
      <c r="N43" s="3"/>
    </row>
    <row r="44" spans="1:14" ht="15.05" customHeight="1">
      <c r="A44" s="1">
        <v>41</v>
      </c>
      <c r="B44" s="10"/>
      <c r="C44" s="10" t="s">
        <v>216</v>
      </c>
      <c r="D44" s="10" t="s">
        <v>78</v>
      </c>
      <c r="E44" s="12" t="s">
        <v>239</v>
      </c>
      <c r="F44" s="12" t="s">
        <v>101</v>
      </c>
      <c r="G44" s="11" t="s">
        <v>220</v>
      </c>
      <c r="H44" s="11" t="s">
        <v>19</v>
      </c>
      <c r="I44" s="12" t="s">
        <v>220</v>
      </c>
      <c r="J44" s="12" t="s">
        <v>19</v>
      </c>
      <c r="K44" s="3"/>
      <c r="L44" s="3"/>
      <c r="M44" s="3"/>
      <c r="N44" s="3"/>
    </row>
    <row r="45" spans="1:14" ht="15.05" customHeight="1">
      <c r="A45" s="1">
        <v>42</v>
      </c>
      <c r="B45" s="10"/>
      <c r="C45" s="10" t="s">
        <v>177</v>
      </c>
      <c r="D45" s="10" t="s">
        <v>78</v>
      </c>
      <c r="E45" s="11" t="s">
        <v>221</v>
      </c>
      <c r="F45" s="11" t="s">
        <v>101</v>
      </c>
      <c r="G45" s="12" t="s">
        <v>222</v>
      </c>
      <c r="H45" s="12" t="s">
        <v>27</v>
      </c>
      <c r="I45" s="12" t="s">
        <v>221</v>
      </c>
      <c r="J45" s="12" t="s">
        <v>101</v>
      </c>
      <c r="K45" s="3"/>
      <c r="L45" s="3"/>
      <c r="M45" s="3"/>
      <c r="N45" s="3"/>
    </row>
    <row r="46" spans="1:14" ht="15.05" customHeight="1">
      <c r="A46" s="1">
        <v>43</v>
      </c>
      <c r="B46" s="10"/>
      <c r="C46" s="10" t="s">
        <v>177</v>
      </c>
      <c r="D46" s="10" t="s">
        <v>78</v>
      </c>
      <c r="E46" s="12" t="s">
        <v>225</v>
      </c>
      <c r="F46" s="12" t="s">
        <v>34</v>
      </c>
      <c r="G46" s="11" t="s">
        <v>226</v>
      </c>
      <c r="H46" s="11" t="s">
        <v>70</v>
      </c>
      <c r="I46" s="12" t="s">
        <v>226</v>
      </c>
      <c r="J46" s="12" t="s">
        <v>70</v>
      </c>
      <c r="K46" s="3"/>
      <c r="L46" s="3"/>
      <c r="M46" s="3"/>
      <c r="N46" s="3"/>
    </row>
    <row r="47" spans="1:14" ht="15.05" customHeight="1">
      <c r="A47" s="1">
        <v>44</v>
      </c>
      <c r="B47" s="10"/>
      <c r="C47" s="10" t="s">
        <v>182</v>
      </c>
      <c r="D47" s="10" t="s">
        <v>78</v>
      </c>
      <c r="E47" s="11" t="s">
        <v>227</v>
      </c>
      <c r="F47" s="11" t="s">
        <v>101</v>
      </c>
      <c r="G47" s="12" t="s">
        <v>228</v>
      </c>
      <c r="H47" s="12" t="s">
        <v>34</v>
      </c>
      <c r="I47" s="12" t="s">
        <v>227</v>
      </c>
      <c r="J47" s="12" t="s">
        <v>101</v>
      </c>
      <c r="K47" s="3"/>
      <c r="L47" s="3"/>
      <c r="M47" s="3"/>
      <c r="N47" s="3"/>
    </row>
    <row r="48" spans="1:14" ht="15.05" customHeight="1">
      <c r="A48" s="1">
        <v>45</v>
      </c>
      <c r="B48" s="10"/>
      <c r="C48" s="10" t="s">
        <v>182</v>
      </c>
      <c r="D48" s="10" t="s">
        <v>78</v>
      </c>
      <c r="E48" s="11" t="s">
        <v>229</v>
      </c>
      <c r="F48" s="11" t="s">
        <v>70</v>
      </c>
      <c r="G48" s="12" t="s">
        <v>232</v>
      </c>
      <c r="H48" s="12" t="s">
        <v>40</v>
      </c>
      <c r="I48" s="14" t="s">
        <v>229</v>
      </c>
      <c r="J48" s="14" t="s">
        <v>70</v>
      </c>
      <c r="K48" s="3"/>
      <c r="L48" s="3"/>
      <c r="M48" s="3"/>
      <c r="N48" s="3"/>
    </row>
    <row r="49" spans="1:14" ht="15.05" customHeight="1">
      <c r="A49" s="1">
        <v>46</v>
      </c>
      <c r="B49" s="10"/>
      <c r="C49" s="10" t="s">
        <v>185</v>
      </c>
      <c r="D49" s="10" t="s">
        <v>84</v>
      </c>
      <c r="E49" s="23" t="s">
        <v>233</v>
      </c>
      <c r="F49" s="23" t="s">
        <v>88</v>
      </c>
      <c r="G49" s="12" t="s">
        <v>191</v>
      </c>
      <c r="H49" s="12" t="s">
        <v>30</v>
      </c>
      <c r="I49" s="14" t="s">
        <v>233</v>
      </c>
      <c r="J49" s="14" t="s">
        <v>88</v>
      </c>
      <c r="K49" s="3"/>
      <c r="L49" s="3"/>
      <c r="M49" s="3"/>
      <c r="N49" s="3"/>
    </row>
    <row r="50" spans="1:14" ht="15.05" customHeight="1">
      <c r="A50" s="1">
        <v>47</v>
      </c>
      <c r="B50" s="10"/>
      <c r="C50" s="10" t="s">
        <v>192</v>
      </c>
      <c r="D50" s="10" t="s">
        <v>84</v>
      </c>
      <c r="E50" s="11" t="s">
        <v>194</v>
      </c>
      <c r="F50" s="11" t="s">
        <v>42</v>
      </c>
      <c r="G50" s="12" t="s">
        <v>198</v>
      </c>
      <c r="H50" s="12" t="s">
        <v>19</v>
      </c>
      <c r="I50" s="12" t="s">
        <v>194</v>
      </c>
      <c r="J50" s="12" t="s">
        <v>42</v>
      </c>
      <c r="K50" s="3"/>
      <c r="L50" s="3"/>
      <c r="M50" s="3"/>
      <c r="N50" s="3"/>
    </row>
    <row r="51" spans="1:14" ht="15.05" customHeight="1">
      <c r="A51" s="1">
        <v>48</v>
      </c>
      <c r="B51" s="10"/>
      <c r="C51" s="10" t="s">
        <v>172</v>
      </c>
      <c r="D51" s="10" t="s">
        <v>84</v>
      </c>
      <c r="E51" s="11" t="s">
        <v>201</v>
      </c>
      <c r="F51" s="11" t="s">
        <v>59</v>
      </c>
      <c r="G51" s="12" t="s">
        <v>203</v>
      </c>
      <c r="H51" s="12" t="s">
        <v>101</v>
      </c>
      <c r="I51" s="12" t="s">
        <v>201</v>
      </c>
      <c r="J51" s="12" t="s">
        <v>59</v>
      </c>
      <c r="K51" s="3"/>
      <c r="L51" s="3"/>
      <c r="M51" s="3"/>
      <c r="N51" s="3"/>
    </row>
    <row r="52" spans="1:14" ht="15.05" customHeight="1">
      <c r="A52" s="1">
        <v>49</v>
      </c>
      <c r="B52" s="10"/>
      <c r="C52" s="10" t="s">
        <v>206</v>
      </c>
      <c r="D52" s="10" t="s">
        <v>84</v>
      </c>
      <c r="E52" s="11" t="s">
        <v>207</v>
      </c>
      <c r="F52" s="11" t="s">
        <v>44</v>
      </c>
      <c r="G52" s="12" t="s">
        <v>212</v>
      </c>
      <c r="H52" s="12" t="s">
        <v>40</v>
      </c>
      <c r="I52" s="12" t="s">
        <v>207</v>
      </c>
      <c r="J52" s="12" t="s">
        <v>44</v>
      </c>
      <c r="K52" s="3"/>
      <c r="L52" s="3"/>
      <c r="M52" s="3"/>
      <c r="N52" s="3"/>
    </row>
    <row r="53" spans="1:14" ht="15.05" customHeight="1">
      <c r="A53" s="1">
        <v>50</v>
      </c>
      <c r="B53" s="10"/>
      <c r="C53" s="10" t="s">
        <v>213</v>
      </c>
      <c r="D53" s="10" t="s">
        <v>84</v>
      </c>
      <c r="E53" s="11" t="s">
        <v>214</v>
      </c>
      <c r="F53" s="11" t="s">
        <v>65</v>
      </c>
      <c r="G53" s="12" t="s">
        <v>237</v>
      </c>
      <c r="H53" s="12" t="s">
        <v>90</v>
      </c>
      <c r="I53" s="12" t="s">
        <v>214</v>
      </c>
      <c r="J53" s="12" t="s">
        <v>65</v>
      </c>
      <c r="K53" s="3"/>
      <c r="L53" s="3"/>
      <c r="M53" s="3"/>
      <c r="N53" s="3"/>
    </row>
    <row r="54" spans="1:14" ht="15.05" customHeight="1">
      <c r="A54" s="1">
        <v>51</v>
      </c>
      <c r="B54" s="10"/>
      <c r="C54" s="10" t="s">
        <v>216</v>
      </c>
      <c r="D54" s="10" t="s">
        <v>84</v>
      </c>
      <c r="E54" s="12" t="s">
        <v>238</v>
      </c>
      <c r="F54" s="12" t="s">
        <v>21</v>
      </c>
      <c r="G54" s="11" t="s">
        <v>220</v>
      </c>
      <c r="H54" s="11" t="s">
        <v>19</v>
      </c>
      <c r="I54" s="12" t="s">
        <v>220</v>
      </c>
      <c r="J54" s="12" t="s">
        <v>19</v>
      </c>
      <c r="K54" s="3"/>
      <c r="L54" s="3"/>
      <c r="M54" s="3"/>
      <c r="N54" s="3"/>
    </row>
    <row r="55" spans="1:14" ht="15.05" customHeight="1">
      <c r="A55" s="1">
        <v>52</v>
      </c>
      <c r="B55" s="10"/>
      <c r="C55" s="10" t="s">
        <v>177</v>
      </c>
      <c r="D55" s="10" t="s">
        <v>84</v>
      </c>
      <c r="E55" s="11" t="s">
        <v>221</v>
      </c>
      <c r="F55" s="11" t="s">
        <v>101</v>
      </c>
      <c r="G55" s="12" t="s">
        <v>226</v>
      </c>
      <c r="H55" s="12" t="s">
        <v>70</v>
      </c>
      <c r="I55" s="12" t="s">
        <v>221</v>
      </c>
      <c r="J55" s="12" t="s">
        <v>101</v>
      </c>
      <c r="K55" s="3"/>
      <c r="L55" s="3"/>
      <c r="M55" s="3"/>
      <c r="N55" s="3"/>
    </row>
    <row r="56" spans="1:14" ht="15.05" customHeight="1">
      <c r="A56" s="1">
        <v>53</v>
      </c>
      <c r="B56" s="10"/>
      <c r="C56" s="10" t="s">
        <v>182</v>
      </c>
      <c r="D56" s="10" t="s">
        <v>84</v>
      </c>
      <c r="E56" s="12" t="s">
        <v>227</v>
      </c>
      <c r="F56" s="12" t="s">
        <v>101</v>
      </c>
      <c r="G56" s="11" t="s">
        <v>229</v>
      </c>
      <c r="H56" s="11" t="s">
        <v>70</v>
      </c>
      <c r="I56" s="12" t="s">
        <v>229</v>
      </c>
      <c r="J56" s="12" t="s">
        <v>70</v>
      </c>
      <c r="K56" s="3"/>
      <c r="L56" s="3"/>
      <c r="M56" s="3"/>
      <c r="N56" s="3"/>
    </row>
    <row r="57" spans="1:14" ht="15.05" customHeight="1">
      <c r="A57" s="16"/>
      <c r="B57" s="17"/>
      <c r="C57" s="17"/>
      <c r="D57" s="17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.05" customHeight="1">
      <c r="A58" s="16"/>
      <c r="B58" s="17"/>
      <c r="C58" s="17"/>
      <c r="D58" s="17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51.05" customHeight="1">
      <c r="A59" s="1"/>
      <c r="B59" s="2"/>
      <c r="C59" s="46" t="s">
        <v>240</v>
      </c>
      <c r="D59" s="47"/>
      <c r="E59" s="47"/>
      <c r="F59" s="47"/>
      <c r="G59" s="47"/>
      <c r="H59" s="47"/>
      <c r="I59" s="47"/>
      <c r="J59" s="47"/>
      <c r="K59" s="3"/>
      <c r="L59" s="3"/>
      <c r="M59" s="3"/>
      <c r="N59" s="3"/>
    </row>
    <row r="60" spans="1:14" ht="15.05" customHeight="1">
      <c r="A60" s="54" t="s">
        <v>1</v>
      </c>
      <c r="B60" s="54" t="s">
        <v>2</v>
      </c>
      <c r="C60" s="54" t="s">
        <v>3</v>
      </c>
      <c r="D60" s="54" t="s">
        <v>4</v>
      </c>
      <c r="E60" s="50" t="s">
        <v>5</v>
      </c>
      <c r="F60" s="51"/>
      <c r="G60" s="52" t="s">
        <v>6</v>
      </c>
      <c r="H60" s="51"/>
      <c r="I60" s="53" t="s">
        <v>7</v>
      </c>
      <c r="J60" s="51"/>
      <c r="K60" s="3"/>
      <c r="L60" s="3"/>
      <c r="M60" s="3"/>
      <c r="N60" s="3"/>
    </row>
    <row r="61" spans="1:14" ht="15.05" customHeight="1">
      <c r="A61" s="49"/>
      <c r="B61" s="49"/>
      <c r="C61" s="49"/>
      <c r="D61" s="49"/>
      <c r="E61" s="5" t="s">
        <v>8</v>
      </c>
      <c r="F61" s="5" t="s">
        <v>9</v>
      </c>
      <c r="G61" s="6" t="s">
        <v>8</v>
      </c>
      <c r="H61" s="6" t="s">
        <v>9</v>
      </c>
      <c r="I61" s="7" t="s">
        <v>8</v>
      </c>
      <c r="J61" s="21" t="s">
        <v>9</v>
      </c>
      <c r="K61" s="22"/>
      <c r="L61" s="22"/>
      <c r="M61" s="22"/>
      <c r="N61" s="22"/>
    </row>
    <row r="62" spans="1:14" ht="15.05" customHeight="1">
      <c r="A62" s="1">
        <v>1</v>
      </c>
      <c r="B62" s="10"/>
      <c r="C62" s="10" t="s">
        <v>241</v>
      </c>
      <c r="D62" s="10" t="s">
        <v>11</v>
      </c>
      <c r="E62" s="12" t="s">
        <v>242</v>
      </c>
      <c r="F62" s="12" t="s">
        <v>44</v>
      </c>
      <c r="G62" s="11" t="s">
        <v>243</v>
      </c>
      <c r="H62" s="11" t="s">
        <v>88</v>
      </c>
      <c r="I62" s="12" t="s">
        <v>243</v>
      </c>
      <c r="J62" s="12" t="s">
        <v>88</v>
      </c>
      <c r="K62" s="3"/>
      <c r="L62" s="3"/>
      <c r="M62" s="3"/>
      <c r="N62" s="3"/>
    </row>
    <row r="63" spans="1:14" ht="15.05" customHeight="1">
      <c r="A63" s="1">
        <v>2</v>
      </c>
      <c r="B63" s="10"/>
      <c r="C63" s="10" t="s">
        <v>241</v>
      </c>
      <c r="D63" s="10" t="s">
        <v>11</v>
      </c>
      <c r="E63" s="12" t="s">
        <v>244</v>
      </c>
      <c r="F63" s="12" t="s">
        <v>19</v>
      </c>
      <c r="G63" s="11" t="s">
        <v>245</v>
      </c>
      <c r="H63" s="11" t="s">
        <v>40</v>
      </c>
      <c r="I63" s="12" t="s">
        <v>245</v>
      </c>
      <c r="J63" s="12" t="s">
        <v>40</v>
      </c>
      <c r="K63" s="3"/>
      <c r="L63" s="3"/>
      <c r="M63" s="3"/>
      <c r="N63" s="3"/>
    </row>
    <row r="64" spans="1:14" ht="15.05" customHeight="1">
      <c r="A64" s="1">
        <v>3</v>
      </c>
      <c r="B64" s="10" t="s">
        <v>246</v>
      </c>
      <c r="C64" s="10" t="s">
        <v>241</v>
      </c>
      <c r="D64" s="10" t="s">
        <v>11</v>
      </c>
      <c r="E64" s="11" t="s">
        <v>247</v>
      </c>
      <c r="F64" s="11" t="s">
        <v>59</v>
      </c>
      <c r="G64" s="12" t="s">
        <v>116</v>
      </c>
      <c r="H64" s="12" t="s">
        <v>27</v>
      </c>
      <c r="I64" s="12" t="s">
        <v>247</v>
      </c>
      <c r="J64" s="12" t="s">
        <v>59</v>
      </c>
      <c r="K64" s="3"/>
      <c r="L64" s="3"/>
      <c r="M64" s="3"/>
      <c r="N64" s="3"/>
    </row>
    <row r="65" spans="1:14" ht="15.05" customHeight="1">
      <c r="A65" s="1">
        <v>4</v>
      </c>
      <c r="B65" s="10"/>
      <c r="C65" s="10" t="s">
        <v>241</v>
      </c>
      <c r="D65" s="10" t="s">
        <v>11</v>
      </c>
      <c r="E65" s="12" t="s">
        <v>248</v>
      </c>
      <c r="F65" s="12" t="s">
        <v>70</v>
      </c>
      <c r="G65" s="11" t="s">
        <v>249</v>
      </c>
      <c r="H65" s="11" t="s">
        <v>17</v>
      </c>
      <c r="I65" s="12" t="s">
        <v>249</v>
      </c>
      <c r="J65" s="12" t="s">
        <v>17</v>
      </c>
      <c r="K65" s="3"/>
      <c r="L65" s="3"/>
      <c r="M65" s="3"/>
      <c r="N65" s="3"/>
    </row>
    <row r="66" spans="1:14" ht="15.05" customHeight="1">
      <c r="A66" s="1">
        <v>5</v>
      </c>
      <c r="B66" s="10"/>
      <c r="C66" s="10" t="s">
        <v>250</v>
      </c>
      <c r="D66" s="10" t="s">
        <v>11</v>
      </c>
      <c r="E66" s="12" t="s">
        <v>251</v>
      </c>
      <c r="F66" s="12" t="s">
        <v>70</v>
      </c>
      <c r="G66" s="11" t="s">
        <v>252</v>
      </c>
      <c r="H66" s="11" t="s">
        <v>42</v>
      </c>
      <c r="I66" s="12" t="s">
        <v>252</v>
      </c>
      <c r="J66" s="12" t="s">
        <v>42</v>
      </c>
      <c r="K66" s="3"/>
      <c r="L66" s="3"/>
      <c r="M66" s="3"/>
      <c r="N66" s="3"/>
    </row>
    <row r="67" spans="1:14" ht="15.05" customHeight="1">
      <c r="A67" s="1">
        <v>6</v>
      </c>
      <c r="B67" s="10"/>
      <c r="C67" s="10" t="s">
        <v>250</v>
      </c>
      <c r="D67" s="10" t="s">
        <v>11</v>
      </c>
      <c r="E67" s="12" t="s">
        <v>253</v>
      </c>
      <c r="F67" s="12" t="s">
        <v>76</v>
      </c>
      <c r="G67" s="11" t="s">
        <v>254</v>
      </c>
      <c r="H67" s="11" t="s">
        <v>23</v>
      </c>
      <c r="I67" s="12" t="s">
        <v>254</v>
      </c>
      <c r="J67" s="12" t="s">
        <v>23</v>
      </c>
      <c r="K67" s="3"/>
      <c r="L67" s="3"/>
      <c r="M67" s="3"/>
      <c r="N67" s="3"/>
    </row>
    <row r="68" spans="1:14" ht="15.75" customHeight="1">
      <c r="A68" s="1">
        <v>7</v>
      </c>
      <c r="B68" s="10"/>
      <c r="C68" s="10" t="s">
        <v>255</v>
      </c>
      <c r="D68" s="10" t="s">
        <v>11</v>
      </c>
      <c r="E68" s="12" t="s">
        <v>256</v>
      </c>
      <c r="F68" s="12" t="s">
        <v>17</v>
      </c>
      <c r="G68" s="11" t="s">
        <v>257</v>
      </c>
      <c r="H68" s="11" t="s">
        <v>65</v>
      </c>
      <c r="I68" s="12" t="s">
        <v>257</v>
      </c>
      <c r="J68" s="12" t="s">
        <v>65</v>
      </c>
      <c r="K68" s="3"/>
      <c r="L68" s="3"/>
      <c r="M68" s="3"/>
      <c r="N68" s="3"/>
    </row>
    <row r="69" spans="1:14" ht="15.05" customHeight="1">
      <c r="A69" s="1">
        <v>8</v>
      </c>
      <c r="B69" s="10"/>
      <c r="C69" s="10" t="s">
        <v>255</v>
      </c>
      <c r="D69" s="10" t="s">
        <v>11</v>
      </c>
      <c r="E69" s="11" t="s">
        <v>258</v>
      </c>
      <c r="F69" s="11" t="s">
        <v>59</v>
      </c>
      <c r="G69" s="12" t="s">
        <v>259</v>
      </c>
      <c r="H69" s="12" t="s">
        <v>51</v>
      </c>
      <c r="I69" s="12" t="s">
        <v>260</v>
      </c>
      <c r="J69" s="12" t="s">
        <v>59</v>
      </c>
      <c r="K69" s="3"/>
      <c r="L69" s="3"/>
      <c r="M69" s="3"/>
      <c r="N69" s="3"/>
    </row>
    <row r="70" spans="1:14" ht="15.05" customHeight="1">
      <c r="A70" s="1">
        <v>9</v>
      </c>
      <c r="B70" s="10"/>
      <c r="C70" s="10" t="s">
        <v>255</v>
      </c>
      <c r="D70" s="10" t="s">
        <v>11</v>
      </c>
      <c r="E70" s="11" t="s">
        <v>261</v>
      </c>
      <c r="F70" s="11" t="s">
        <v>27</v>
      </c>
      <c r="G70" s="12" t="s">
        <v>262</v>
      </c>
      <c r="H70" s="12" t="s">
        <v>40</v>
      </c>
      <c r="I70" s="12" t="s">
        <v>261</v>
      </c>
      <c r="J70" s="12" t="s">
        <v>27</v>
      </c>
      <c r="K70" s="3"/>
      <c r="L70" s="3"/>
      <c r="M70" s="3"/>
      <c r="N70" s="3"/>
    </row>
    <row r="71" spans="1:14" ht="15.05" customHeight="1">
      <c r="A71" s="1">
        <v>10</v>
      </c>
      <c r="B71" s="10"/>
      <c r="C71" s="10" t="s">
        <v>241</v>
      </c>
      <c r="D71" s="10" t="s">
        <v>11</v>
      </c>
      <c r="E71" s="12" t="s">
        <v>243</v>
      </c>
      <c r="F71" s="12" t="s">
        <v>88</v>
      </c>
      <c r="G71" s="11" t="s">
        <v>245</v>
      </c>
      <c r="H71" s="11" t="s">
        <v>40</v>
      </c>
      <c r="I71" s="12" t="s">
        <v>245</v>
      </c>
      <c r="J71" s="12" t="s">
        <v>40</v>
      </c>
      <c r="K71" s="3"/>
      <c r="L71" s="3"/>
      <c r="M71" s="3"/>
      <c r="N71" s="3"/>
    </row>
    <row r="72" spans="1:14" ht="15.05" customHeight="1">
      <c r="A72" s="1">
        <v>11</v>
      </c>
      <c r="B72" s="10"/>
      <c r="C72" s="10" t="s">
        <v>241</v>
      </c>
      <c r="D72" s="10" t="s">
        <v>11</v>
      </c>
      <c r="E72" s="12" t="s">
        <v>263</v>
      </c>
      <c r="F72" s="12" t="s">
        <v>62</v>
      </c>
      <c r="G72" s="11" t="s">
        <v>264</v>
      </c>
      <c r="H72" s="11" t="s">
        <v>51</v>
      </c>
      <c r="I72" s="12" t="s">
        <v>264</v>
      </c>
      <c r="J72" s="12" t="s">
        <v>51</v>
      </c>
      <c r="K72" s="3"/>
      <c r="L72" s="3"/>
      <c r="M72" s="3"/>
      <c r="N72" s="3"/>
    </row>
    <row r="73" spans="1:14" ht="15.05" customHeight="1">
      <c r="A73" s="1">
        <v>12</v>
      </c>
      <c r="B73" s="10"/>
      <c r="C73" s="10" t="s">
        <v>241</v>
      </c>
      <c r="D73" s="10" t="s">
        <v>11</v>
      </c>
      <c r="E73" s="12" t="s">
        <v>265</v>
      </c>
      <c r="F73" s="12" t="s">
        <v>76</v>
      </c>
      <c r="G73" s="11" t="s">
        <v>266</v>
      </c>
      <c r="H73" s="11" t="s">
        <v>101</v>
      </c>
      <c r="I73" s="12" t="s">
        <v>266</v>
      </c>
      <c r="J73" s="12" t="s">
        <v>101</v>
      </c>
      <c r="K73" s="3"/>
      <c r="L73" s="3"/>
      <c r="M73" s="3"/>
      <c r="N73" s="3"/>
    </row>
    <row r="74" spans="1:14" ht="15.05" customHeight="1">
      <c r="A74" s="1">
        <v>13</v>
      </c>
      <c r="B74" s="10"/>
      <c r="C74" s="10" t="s">
        <v>241</v>
      </c>
      <c r="D74" s="10" t="s">
        <v>11</v>
      </c>
      <c r="E74" s="11" t="s">
        <v>247</v>
      </c>
      <c r="F74" s="11" t="s">
        <v>59</v>
      </c>
      <c r="G74" s="12" t="s">
        <v>249</v>
      </c>
      <c r="H74" s="12" t="s">
        <v>17</v>
      </c>
      <c r="I74" s="12" t="s">
        <v>247</v>
      </c>
      <c r="J74" s="12" t="s">
        <v>59</v>
      </c>
      <c r="K74" s="3"/>
      <c r="L74" s="3"/>
      <c r="M74" s="3"/>
      <c r="N74" s="3"/>
    </row>
    <row r="75" spans="1:14" ht="15.05" customHeight="1">
      <c r="A75" s="1">
        <v>14</v>
      </c>
      <c r="B75" s="10"/>
      <c r="C75" s="10" t="s">
        <v>250</v>
      </c>
      <c r="D75" s="10" t="s">
        <v>11</v>
      </c>
      <c r="E75" s="11" t="s">
        <v>252</v>
      </c>
      <c r="F75" s="11" t="s">
        <v>42</v>
      </c>
      <c r="G75" s="12" t="s">
        <v>267</v>
      </c>
      <c r="H75" s="12" t="s">
        <v>19</v>
      </c>
      <c r="I75" s="12" t="s">
        <v>252</v>
      </c>
      <c r="J75" s="12" t="s">
        <v>42</v>
      </c>
      <c r="K75" s="3"/>
      <c r="L75" s="3"/>
      <c r="M75" s="3"/>
      <c r="N75" s="3"/>
    </row>
    <row r="76" spans="1:14" ht="15.05" customHeight="1">
      <c r="A76" s="1">
        <v>15</v>
      </c>
      <c r="B76" s="10"/>
      <c r="C76" s="10" t="s">
        <v>250</v>
      </c>
      <c r="D76" s="10" t="s">
        <v>11</v>
      </c>
      <c r="E76" s="11" t="s">
        <v>268</v>
      </c>
      <c r="F76" s="11" t="s">
        <v>40</v>
      </c>
      <c r="G76" s="12" t="s">
        <v>140</v>
      </c>
      <c r="H76" s="12" t="s">
        <v>21</v>
      </c>
      <c r="I76" s="12" t="s">
        <v>268</v>
      </c>
      <c r="J76" s="12" t="s">
        <v>40</v>
      </c>
      <c r="K76" s="3"/>
      <c r="L76" s="3"/>
      <c r="M76" s="3"/>
      <c r="N76" s="3"/>
    </row>
    <row r="77" spans="1:14" ht="15.05" customHeight="1">
      <c r="A77" s="1">
        <v>16</v>
      </c>
      <c r="B77" s="10"/>
      <c r="C77" s="10" t="s">
        <v>250</v>
      </c>
      <c r="D77" s="10" t="s">
        <v>11</v>
      </c>
      <c r="E77" s="11" t="s">
        <v>269</v>
      </c>
      <c r="F77" s="11" t="s">
        <v>17</v>
      </c>
      <c r="G77" s="12" t="s">
        <v>270</v>
      </c>
      <c r="H77" s="12" t="s">
        <v>90</v>
      </c>
      <c r="I77" s="12" t="s">
        <v>269</v>
      </c>
      <c r="J77" s="12" t="s">
        <v>17</v>
      </c>
      <c r="K77" s="3"/>
      <c r="L77" s="3"/>
      <c r="M77" s="3"/>
      <c r="N77" s="3"/>
    </row>
    <row r="78" spans="1:14" ht="15.05" customHeight="1">
      <c r="A78" s="1">
        <v>17</v>
      </c>
      <c r="B78" s="10"/>
      <c r="C78" s="10" t="s">
        <v>250</v>
      </c>
      <c r="D78" s="10" t="s">
        <v>11</v>
      </c>
      <c r="E78" s="12" t="s">
        <v>271</v>
      </c>
      <c r="F78" s="12" t="s">
        <v>51</v>
      </c>
      <c r="G78" s="11" t="s">
        <v>254</v>
      </c>
      <c r="H78" s="11" t="s">
        <v>23</v>
      </c>
      <c r="I78" s="12" t="s">
        <v>254</v>
      </c>
      <c r="J78" s="12" t="s">
        <v>23</v>
      </c>
      <c r="K78" s="3"/>
      <c r="L78" s="3"/>
      <c r="M78" s="3"/>
      <c r="N78" s="3"/>
    </row>
    <row r="79" spans="1:14" ht="15.05" customHeight="1">
      <c r="A79" s="1">
        <v>18</v>
      </c>
      <c r="B79" s="10"/>
      <c r="C79" s="10" t="s">
        <v>272</v>
      </c>
      <c r="D79" s="10" t="s">
        <v>11</v>
      </c>
      <c r="E79" s="12" t="s">
        <v>273</v>
      </c>
      <c r="F79" s="12" t="s">
        <v>27</v>
      </c>
      <c r="G79" s="11" t="s">
        <v>274</v>
      </c>
      <c r="H79" s="11" t="s">
        <v>59</v>
      </c>
      <c r="I79" s="12" t="s">
        <v>274</v>
      </c>
      <c r="J79" s="12" t="s">
        <v>59</v>
      </c>
      <c r="K79" s="3"/>
      <c r="L79" s="3"/>
      <c r="M79" s="3"/>
      <c r="N79" s="3"/>
    </row>
    <row r="80" spans="1:14" ht="15.05" customHeight="1">
      <c r="A80" s="1">
        <v>19</v>
      </c>
      <c r="B80" s="10"/>
      <c r="C80" s="10" t="s">
        <v>272</v>
      </c>
      <c r="D80" s="10" t="s">
        <v>11</v>
      </c>
      <c r="E80" s="11" t="s">
        <v>275</v>
      </c>
      <c r="F80" s="11" t="s">
        <v>40</v>
      </c>
      <c r="G80" s="12" t="s">
        <v>87</v>
      </c>
      <c r="H80" s="12" t="s">
        <v>21</v>
      </c>
      <c r="I80" s="12" t="s">
        <v>275</v>
      </c>
      <c r="J80" s="12" t="s">
        <v>40</v>
      </c>
      <c r="K80" s="3"/>
      <c r="L80" s="3"/>
      <c r="M80" s="3"/>
      <c r="N80" s="3"/>
    </row>
    <row r="81" spans="1:14" ht="15.05" customHeight="1">
      <c r="A81" s="1">
        <v>20</v>
      </c>
      <c r="B81" s="10"/>
      <c r="C81" s="10" t="s">
        <v>272</v>
      </c>
      <c r="D81" s="10" t="s">
        <v>11</v>
      </c>
      <c r="E81" s="11" t="s">
        <v>276</v>
      </c>
      <c r="F81" s="11" t="s">
        <v>88</v>
      </c>
      <c r="G81" s="12" t="s">
        <v>277</v>
      </c>
      <c r="H81" s="12" t="s">
        <v>70</v>
      </c>
      <c r="I81" s="12" t="s">
        <v>276</v>
      </c>
      <c r="J81" s="12" t="s">
        <v>88</v>
      </c>
      <c r="K81" s="3"/>
      <c r="L81" s="3"/>
      <c r="M81" s="3"/>
      <c r="N81" s="3"/>
    </row>
    <row r="82" spans="1:14" ht="15.05" customHeight="1">
      <c r="A82" s="1">
        <v>21</v>
      </c>
      <c r="B82" s="10"/>
      <c r="C82" s="10" t="s">
        <v>272</v>
      </c>
      <c r="D82" s="10" t="s">
        <v>11</v>
      </c>
      <c r="E82" s="12" t="s">
        <v>278</v>
      </c>
      <c r="F82" s="12" t="s">
        <v>19</v>
      </c>
      <c r="G82" s="11" t="s">
        <v>279</v>
      </c>
      <c r="H82" s="11" t="s">
        <v>51</v>
      </c>
      <c r="I82" s="12" t="s">
        <v>280</v>
      </c>
      <c r="J82" s="12" t="s">
        <v>51</v>
      </c>
      <c r="K82" s="3"/>
      <c r="L82" s="3"/>
      <c r="M82" s="3"/>
      <c r="N82" s="3"/>
    </row>
    <row r="83" spans="1:14" ht="15.05" customHeight="1">
      <c r="A83" s="1">
        <v>22</v>
      </c>
      <c r="B83" s="10"/>
      <c r="C83" s="10" t="s">
        <v>281</v>
      </c>
      <c r="D83" s="10" t="s">
        <v>11</v>
      </c>
      <c r="E83" s="11" t="s">
        <v>282</v>
      </c>
      <c r="F83" s="11" t="s">
        <v>30</v>
      </c>
      <c r="G83" s="12" t="s">
        <v>283</v>
      </c>
      <c r="H83" s="12" t="s">
        <v>44</v>
      </c>
      <c r="I83" s="12" t="s">
        <v>284</v>
      </c>
      <c r="J83" s="12" t="s">
        <v>30</v>
      </c>
      <c r="K83" s="3"/>
      <c r="L83" s="3"/>
      <c r="M83" s="3"/>
      <c r="N83" s="3"/>
    </row>
    <row r="84" spans="1:14" ht="15.05" customHeight="1">
      <c r="A84" s="1">
        <v>23</v>
      </c>
      <c r="B84" s="10"/>
      <c r="C84" s="10" t="s">
        <v>281</v>
      </c>
      <c r="D84" s="10" t="s">
        <v>11</v>
      </c>
      <c r="E84" s="11" t="s">
        <v>285</v>
      </c>
      <c r="F84" s="11" t="s">
        <v>17</v>
      </c>
      <c r="G84" s="12" t="s">
        <v>286</v>
      </c>
      <c r="H84" s="12" t="s">
        <v>40</v>
      </c>
      <c r="I84" s="12" t="s">
        <v>285</v>
      </c>
      <c r="J84" s="12" t="s">
        <v>17</v>
      </c>
      <c r="K84" s="3"/>
      <c r="L84" s="3"/>
      <c r="M84" s="3"/>
      <c r="N84" s="3"/>
    </row>
    <row r="85" spans="1:14" ht="15.05" customHeight="1">
      <c r="A85" s="1">
        <v>24</v>
      </c>
      <c r="B85" s="10"/>
      <c r="C85" s="10" t="s">
        <v>287</v>
      </c>
      <c r="D85" s="10" t="s">
        <v>11</v>
      </c>
      <c r="E85" s="12" t="s">
        <v>288</v>
      </c>
      <c r="F85" s="12" t="s">
        <v>17</v>
      </c>
      <c r="G85" s="11" t="s">
        <v>289</v>
      </c>
      <c r="H85" s="11" t="s">
        <v>40</v>
      </c>
      <c r="I85" s="12" t="s">
        <v>290</v>
      </c>
      <c r="J85" s="12" t="s">
        <v>40</v>
      </c>
      <c r="K85" s="3"/>
      <c r="L85" s="3"/>
      <c r="M85" s="3"/>
      <c r="N85" s="3"/>
    </row>
    <row r="86" spans="1:14" ht="15.05" customHeight="1">
      <c r="A86" s="1">
        <v>25</v>
      </c>
      <c r="B86" s="10"/>
      <c r="C86" s="10" t="s">
        <v>255</v>
      </c>
      <c r="D86" s="10" t="s">
        <v>78</v>
      </c>
      <c r="E86" s="12" t="s">
        <v>257</v>
      </c>
      <c r="F86" s="12" t="s">
        <v>65</v>
      </c>
      <c r="G86" s="11" t="s">
        <v>260</v>
      </c>
      <c r="H86" s="11" t="s">
        <v>59</v>
      </c>
      <c r="I86" s="12" t="s">
        <v>260</v>
      </c>
      <c r="J86" s="12" t="s">
        <v>59</v>
      </c>
      <c r="K86" s="3"/>
      <c r="L86" s="3"/>
      <c r="M86" s="3"/>
      <c r="N86" s="3"/>
    </row>
    <row r="87" spans="1:14" ht="15.05" customHeight="1">
      <c r="A87" s="1">
        <v>26</v>
      </c>
      <c r="B87" s="10"/>
      <c r="C87" s="10" t="s">
        <v>255</v>
      </c>
      <c r="D87" s="10" t="s">
        <v>78</v>
      </c>
      <c r="E87" s="11" t="s">
        <v>291</v>
      </c>
      <c r="F87" s="11" t="s">
        <v>44</v>
      </c>
      <c r="G87" s="12" t="s">
        <v>261</v>
      </c>
      <c r="H87" s="12" t="s">
        <v>27</v>
      </c>
      <c r="I87" s="12" t="s">
        <v>291</v>
      </c>
      <c r="J87" s="12" t="s">
        <v>44</v>
      </c>
      <c r="K87" s="3"/>
      <c r="L87" s="3"/>
      <c r="M87" s="3"/>
      <c r="N87" s="3"/>
    </row>
    <row r="88" spans="1:14" ht="15.05" customHeight="1">
      <c r="A88" s="1">
        <v>27</v>
      </c>
      <c r="B88" s="10"/>
      <c r="C88" s="10" t="s">
        <v>241</v>
      </c>
      <c r="D88" s="10" t="s">
        <v>78</v>
      </c>
      <c r="E88" s="11" t="s">
        <v>245</v>
      </c>
      <c r="F88" s="11" t="s">
        <v>40</v>
      </c>
      <c r="G88" s="12" t="s">
        <v>264</v>
      </c>
      <c r="H88" s="12" t="s">
        <v>51</v>
      </c>
      <c r="I88" s="12"/>
      <c r="J88" s="24"/>
      <c r="K88" s="3"/>
      <c r="L88" s="3"/>
      <c r="M88" s="3"/>
      <c r="N88" s="3"/>
    </row>
    <row r="89" spans="1:14" ht="15.05" customHeight="1">
      <c r="A89" s="1">
        <v>28</v>
      </c>
      <c r="B89" s="10"/>
      <c r="C89" s="10" t="s">
        <v>241</v>
      </c>
      <c r="D89" s="10" t="s">
        <v>78</v>
      </c>
      <c r="E89" s="12" t="s">
        <v>266</v>
      </c>
      <c r="F89" s="12" t="s">
        <v>101</v>
      </c>
      <c r="G89" s="11" t="s">
        <v>247</v>
      </c>
      <c r="H89" s="11" t="s">
        <v>59</v>
      </c>
      <c r="I89" s="12" t="s">
        <v>247</v>
      </c>
      <c r="J89" s="12" t="s">
        <v>59</v>
      </c>
      <c r="K89" s="3"/>
      <c r="L89" s="3"/>
      <c r="M89" s="3"/>
      <c r="N89" s="3"/>
    </row>
    <row r="90" spans="1:14" ht="15.05" customHeight="1">
      <c r="A90" s="1">
        <v>29</v>
      </c>
      <c r="B90" s="10"/>
      <c r="C90" s="10" t="s">
        <v>250</v>
      </c>
      <c r="D90" s="10" t="s">
        <v>78</v>
      </c>
      <c r="E90" s="11" t="s">
        <v>252</v>
      </c>
      <c r="F90" s="11" t="s">
        <v>42</v>
      </c>
      <c r="G90" s="12" t="s">
        <v>268</v>
      </c>
      <c r="H90" s="12" t="s">
        <v>40</v>
      </c>
      <c r="I90" s="12" t="s">
        <v>252</v>
      </c>
      <c r="J90" s="12" t="s">
        <v>42</v>
      </c>
      <c r="K90" s="3"/>
      <c r="L90" s="3"/>
      <c r="M90" s="3"/>
      <c r="N90" s="3"/>
    </row>
    <row r="91" spans="1:14" ht="15.05" customHeight="1">
      <c r="A91" s="1">
        <v>30</v>
      </c>
      <c r="B91" s="10"/>
      <c r="C91" s="10" t="s">
        <v>250</v>
      </c>
      <c r="D91" s="10" t="s">
        <v>78</v>
      </c>
      <c r="E91" s="11" t="s">
        <v>269</v>
      </c>
      <c r="F91" s="11" t="s">
        <v>17</v>
      </c>
      <c r="G91" s="12" t="s">
        <v>254</v>
      </c>
      <c r="H91" s="12" t="s">
        <v>23</v>
      </c>
      <c r="I91" s="12" t="s">
        <v>269</v>
      </c>
      <c r="J91" s="12" t="s">
        <v>17</v>
      </c>
      <c r="K91" s="3"/>
      <c r="L91" s="3"/>
      <c r="M91" s="3"/>
      <c r="N91" s="3"/>
    </row>
    <row r="92" spans="1:14" ht="15.05" customHeight="1">
      <c r="A92" s="1">
        <v>31</v>
      </c>
      <c r="B92" s="10"/>
      <c r="C92" s="10" t="s">
        <v>272</v>
      </c>
      <c r="D92" s="10" t="s">
        <v>78</v>
      </c>
      <c r="E92" s="11" t="s">
        <v>274</v>
      </c>
      <c r="F92" s="11" t="s">
        <v>59</v>
      </c>
      <c r="G92" s="12" t="s">
        <v>275</v>
      </c>
      <c r="H92" s="12" t="s">
        <v>40</v>
      </c>
      <c r="I92" s="15" t="s">
        <v>274</v>
      </c>
      <c r="J92" s="15" t="s">
        <v>59</v>
      </c>
      <c r="K92" s="3"/>
      <c r="L92" s="3"/>
      <c r="M92" s="3"/>
      <c r="N92" s="3"/>
    </row>
    <row r="93" spans="1:14" ht="15.05" customHeight="1">
      <c r="A93" s="1">
        <v>32</v>
      </c>
      <c r="B93" s="10"/>
      <c r="C93" s="10" t="s">
        <v>272</v>
      </c>
      <c r="D93" s="10" t="s">
        <v>78</v>
      </c>
      <c r="E93" s="25" t="s">
        <v>292</v>
      </c>
      <c r="F93" s="12" t="s">
        <v>88</v>
      </c>
      <c r="G93" s="26" t="s">
        <v>293</v>
      </c>
      <c r="H93" s="11" t="s">
        <v>51</v>
      </c>
      <c r="I93" s="25" t="s">
        <v>280</v>
      </c>
      <c r="J93" s="12" t="s">
        <v>51</v>
      </c>
      <c r="K93" s="3"/>
      <c r="L93" s="3"/>
      <c r="M93" s="3"/>
      <c r="N93" s="3"/>
    </row>
    <row r="94" spans="1:14" ht="15.05" customHeight="1">
      <c r="A94" s="1">
        <v>33</v>
      </c>
      <c r="B94" s="10"/>
      <c r="C94" s="10" t="s">
        <v>281</v>
      </c>
      <c r="D94" s="10" t="s">
        <v>78</v>
      </c>
      <c r="E94" s="12" t="s">
        <v>284</v>
      </c>
      <c r="F94" s="12" t="s">
        <v>30</v>
      </c>
      <c r="G94" s="11" t="s">
        <v>294</v>
      </c>
      <c r="H94" s="11" t="s">
        <v>19</v>
      </c>
      <c r="I94" s="12" t="s">
        <v>294</v>
      </c>
      <c r="J94" s="12" t="s">
        <v>19</v>
      </c>
      <c r="K94" s="3"/>
      <c r="L94" s="3"/>
      <c r="M94" s="3"/>
      <c r="N94" s="3"/>
    </row>
    <row r="95" spans="1:14" ht="15.05" customHeight="1">
      <c r="A95" s="1">
        <v>34</v>
      </c>
      <c r="B95" s="10"/>
      <c r="C95" s="10" t="s">
        <v>281</v>
      </c>
      <c r="D95" s="10" t="s">
        <v>78</v>
      </c>
      <c r="E95" s="12" t="s">
        <v>295</v>
      </c>
      <c r="F95" s="12" t="s">
        <v>51</v>
      </c>
      <c r="G95" s="11" t="s">
        <v>285</v>
      </c>
      <c r="H95" s="11" t="s">
        <v>17</v>
      </c>
      <c r="I95" s="12" t="s">
        <v>285</v>
      </c>
      <c r="J95" s="12" t="s">
        <v>17</v>
      </c>
      <c r="K95" s="3"/>
      <c r="L95" s="3"/>
      <c r="M95" s="3"/>
      <c r="N95" s="3"/>
    </row>
    <row r="96" spans="1:14" ht="15.05" customHeight="1">
      <c r="A96" s="1">
        <v>35</v>
      </c>
      <c r="B96" s="10"/>
      <c r="C96" s="10" t="s">
        <v>296</v>
      </c>
      <c r="D96" s="10" t="s">
        <v>78</v>
      </c>
      <c r="E96" s="12" t="s">
        <v>297</v>
      </c>
      <c r="F96" s="12" t="s">
        <v>30</v>
      </c>
      <c r="G96" s="11" t="s">
        <v>298</v>
      </c>
      <c r="H96" s="11" t="s">
        <v>40</v>
      </c>
      <c r="I96" s="12" t="s">
        <v>298</v>
      </c>
      <c r="J96" s="12" t="s">
        <v>40</v>
      </c>
      <c r="K96" s="3"/>
      <c r="L96" s="3"/>
      <c r="M96" s="3"/>
      <c r="N96" s="3"/>
    </row>
    <row r="97" spans="1:14" ht="15.05" customHeight="1">
      <c r="A97" s="1">
        <v>36</v>
      </c>
      <c r="B97" s="10"/>
      <c r="C97" s="10" t="s">
        <v>296</v>
      </c>
      <c r="D97" s="10" t="s">
        <v>78</v>
      </c>
      <c r="E97" s="12" t="s">
        <v>299</v>
      </c>
      <c r="F97" s="12" t="s">
        <v>27</v>
      </c>
      <c r="G97" s="11" t="s">
        <v>300</v>
      </c>
      <c r="H97" s="11" t="s">
        <v>44</v>
      </c>
      <c r="I97" s="12" t="s">
        <v>300</v>
      </c>
      <c r="J97" s="12" t="s">
        <v>44</v>
      </c>
      <c r="K97" s="3"/>
      <c r="L97" s="3"/>
      <c r="M97" s="3"/>
      <c r="N97" s="3"/>
    </row>
    <row r="98" spans="1:14" ht="15.05" customHeight="1">
      <c r="A98" s="1">
        <v>37</v>
      </c>
      <c r="B98" s="10"/>
      <c r="C98" s="10" t="s">
        <v>287</v>
      </c>
      <c r="D98" s="10" t="s">
        <v>78</v>
      </c>
      <c r="E98" s="12" t="s">
        <v>301</v>
      </c>
      <c r="F98" s="12" t="s">
        <v>40</v>
      </c>
      <c r="G98" s="11" t="s">
        <v>302</v>
      </c>
      <c r="H98" s="11" t="s">
        <v>15</v>
      </c>
      <c r="I98" s="12" t="s">
        <v>302</v>
      </c>
      <c r="J98" s="12" t="s">
        <v>15</v>
      </c>
      <c r="K98" s="3"/>
      <c r="L98" s="3"/>
      <c r="M98" s="3"/>
      <c r="N98" s="3"/>
    </row>
    <row r="99" spans="1:14" ht="15.05" customHeight="1">
      <c r="A99" s="1">
        <v>38</v>
      </c>
      <c r="B99" s="10"/>
      <c r="C99" s="10" t="s">
        <v>287</v>
      </c>
      <c r="D99" s="10" t="s">
        <v>78</v>
      </c>
      <c r="E99" s="12" t="s">
        <v>303</v>
      </c>
      <c r="F99" s="12" t="s">
        <v>30</v>
      </c>
      <c r="G99" s="11" t="s">
        <v>304</v>
      </c>
      <c r="H99" s="11" t="s">
        <v>27</v>
      </c>
      <c r="I99" s="12" t="s">
        <v>304</v>
      </c>
      <c r="J99" s="12" t="s">
        <v>27</v>
      </c>
      <c r="K99" s="3"/>
      <c r="L99" s="3"/>
      <c r="M99" s="3"/>
      <c r="N99" s="3"/>
    </row>
    <row r="100" spans="1:14" ht="15.05" customHeight="1">
      <c r="A100" s="1">
        <v>39</v>
      </c>
      <c r="B100" s="10"/>
      <c r="C100" s="10" t="s">
        <v>255</v>
      </c>
      <c r="D100" s="10" t="s">
        <v>84</v>
      </c>
      <c r="E100" s="12" t="s">
        <v>260</v>
      </c>
      <c r="F100" s="12" t="s">
        <v>59</v>
      </c>
      <c r="G100" s="11" t="s">
        <v>291</v>
      </c>
      <c r="H100" s="11" t="s">
        <v>44</v>
      </c>
      <c r="I100" s="12" t="s">
        <v>291</v>
      </c>
      <c r="J100" s="12" t="s">
        <v>44</v>
      </c>
      <c r="K100" s="3"/>
      <c r="L100" s="3"/>
      <c r="M100" s="3"/>
      <c r="N100" s="3"/>
    </row>
    <row r="101" spans="1:14" ht="15.05" customHeight="1">
      <c r="A101" s="1">
        <v>40</v>
      </c>
      <c r="B101" s="10"/>
      <c r="C101" s="10" t="s">
        <v>241</v>
      </c>
      <c r="D101" s="10" t="s">
        <v>84</v>
      </c>
      <c r="E101" s="15" t="s">
        <v>245</v>
      </c>
      <c r="F101" s="15" t="s">
        <v>40</v>
      </c>
      <c r="G101" s="11" t="s">
        <v>247</v>
      </c>
      <c r="H101" s="11" t="s">
        <v>59</v>
      </c>
      <c r="I101" s="12" t="s">
        <v>247</v>
      </c>
      <c r="J101" s="12" t="s">
        <v>59</v>
      </c>
      <c r="K101" s="3"/>
      <c r="L101" s="3"/>
      <c r="M101" s="3"/>
      <c r="N101" s="3"/>
    </row>
    <row r="102" spans="1:14" ht="15.05" customHeight="1">
      <c r="A102" s="1">
        <v>41</v>
      </c>
      <c r="B102" s="10"/>
      <c r="C102" s="10" t="s">
        <v>250</v>
      </c>
      <c r="D102" s="10" t="s">
        <v>84</v>
      </c>
      <c r="E102" s="12" t="s">
        <v>252</v>
      </c>
      <c r="F102" s="12" t="s">
        <v>42</v>
      </c>
      <c r="G102" s="11" t="s">
        <v>269</v>
      </c>
      <c r="H102" s="11" t="s">
        <v>17</v>
      </c>
      <c r="I102" s="12" t="s">
        <v>269</v>
      </c>
      <c r="J102" s="12" t="s">
        <v>17</v>
      </c>
      <c r="K102" s="3"/>
      <c r="L102" s="3"/>
      <c r="M102" s="3"/>
      <c r="N102" s="3"/>
    </row>
    <row r="103" spans="1:14" ht="15.05" customHeight="1">
      <c r="A103" s="1">
        <v>42</v>
      </c>
      <c r="B103" s="10"/>
      <c r="C103" s="10" t="s">
        <v>272</v>
      </c>
      <c r="D103" s="10" t="s">
        <v>84</v>
      </c>
      <c r="E103" s="11" t="s">
        <v>274</v>
      </c>
      <c r="F103" s="11" t="s">
        <v>59</v>
      </c>
      <c r="G103" s="25" t="s">
        <v>280</v>
      </c>
      <c r="H103" s="12" t="s">
        <v>51</v>
      </c>
      <c r="I103" s="15" t="s">
        <v>274</v>
      </c>
      <c r="J103" s="15" t="s">
        <v>59</v>
      </c>
      <c r="K103" s="3"/>
      <c r="L103" s="3"/>
      <c r="M103" s="3"/>
      <c r="N103" s="3"/>
    </row>
    <row r="104" spans="1:14" ht="15.05" customHeight="1">
      <c r="A104" s="1">
        <v>43</v>
      </c>
      <c r="B104" s="10"/>
      <c r="C104" s="10" t="s">
        <v>281</v>
      </c>
      <c r="D104" s="10" t="s">
        <v>84</v>
      </c>
      <c r="E104" s="11" t="s">
        <v>294</v>
      </c>
      <c r="F104" s="11" t="s">
        <v>19</v>
      </c>
      <c r="G104" s="12" t="s">
        <v>285</v>
      </c>
      <c r="H104" s="12" t="s">
        <v>17</v>
      </c>
      <c r="I104" s="12" t="s">
        <v>294</v>
      </c>
      <c r="J104" s="12" t="s">
        <v>19</v>
      </c>
      <c r="K104" s="3"/>
      <c r="L104" s="3"/>
      <c r="M104" s="3"/>
      <c r="N104" s="3"/>
    </row>
    <row r="105" spans="1:14" ht="15.05" customHeight="1">
      <c r="A105" s="1">
        <v>44</v>
      </c>
      <c r="B105" s="10"/>
      <c r="C105" s="10" t="s">
        <v>296</v>
      </c>
      <c r="D105" s="10" t="s">
        <v>84</v>
      </c>
      <c r="E105" s="12" t="s">
        <v>298</v>
      </c>
      <c r="F105" s="12" t="s">
        <v>40</v>
      </c>
      <c r="G105" s="11" t="s">
        <v>300</v>
      </c>
      <c r="H105" s="11" t="s">
        <v>44</v>
      </c>
      <c r="I105" s="12" t="s">
        <v>300</v>
      </c>
      <c r="J105" s="12" t="s">
        <v>44</v>
      </c>
      <c r="K105" s="3"/>
      <c r="L105" s="3"/>
      <c r="M105" s="3"/>
      <c r="N105" s="3"/>
    </row>
    <row r="106" spans="1:14" ht="15.05" customHeight="1">
      <c r="A106" s="1">
        <v>45</v>
      </c>
      <c r="B106" s="10"/>
      <c r="C106" s="10" t="s">
        <v>287</v>
      </c>
      <c r="D106" s="10" t="s">
        <v>84</v>
      </c>
      <c r="E106" s="12" t="s">
        <v>302</v>
      </c>
      <c r="F106" s="12" t="s">
        <v>15</v>
      </c>
      <c r="G106" s="11" t="s">
        <v>304</v>
      </c>
      <c r="H106" s="11" t="s">
        <v>27</v>
      </c>
      <c r="I106" s="12" t="s">
        <v>304</v>
      </c>
      <c r="J106" s="12" t="s">
        <v>27</v>
      </c>
      <c r="K106" s="3"/>
      <c r="L106" s="3"/>
      <c r="M106" s="3"/>
      <c r="N106" s="3"/>
    </row>
    <row r="107" spans="1:14" ht="15.05" customHeight="1">
      <c r="A107" s="27">
        <v>46</v>
      </c>
      <c r="B107" s="10"/>
      <c r="C107" s="28" t="s">
        <v>305</v>
      </c>
      <c r="D107" s="28" t="s">
        <v>306</v>
      </c>
      <c r="E107" s="25" t="s">
        <v>307</v>
      </c>
      <c r="F107" s="25" t="s">
        <v>308</v>
      </c>
      <c r="G107" s="26" t="s">
        <v>309</v>
      </c>
      <c r="H107" s="26" t="s">
        <v>27</v>
      </c>
      <c r="I107" s="25" t="s">
        <v>309</v>
      </c>
      <c r="J107" s="25" t="s">
        <v>27</v>
      </c>
      <c r="K107" s="3"/>
      <c r="L107" s="3"/>
      <c r="M107" s="3"/>
      <c r="N107" s="3"/>
    </row>
    <row r="108" spans="1:14" ht="15.05" customHeight="1">
      <c r="A108" s="16"/>
      <c r="B108" s="17"/>
      <c r="C108" s="17"/>
      <c r="D108" s="17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05" customHeight="1">
      <c r="A109" s="16"/>
      <c r="B109" s="17"/>
      <c r="C109" s="17"/>
      <c r="D109" s="17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05" customHeight="1">
      <c r="A110" s="16"/>
      <c r="B110" s="17"/>
      <c r="C110" s="17"/>
      <c r="D110" s="17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05" customHeight="1">
      <c r="A111" s="16"/>
      <c r="B111" s="17"/>
      <c r="C111" s="17"/>
      <c r="D111" s="17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05" customHeight="1">
      <c r="A112" s="16"/>
      <c r="B112" s="17"/>
      <c r="C112" s="17"/>
      <c r="D112" s="17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05" customHeight="1">
      <c r="A113" s="16"/>
      <c r="B113" s="17"/>
      <c r="C113" s="17"/>
      <c r="D113" s="17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05" customHeight="1">
      <c r="A114" s="16"/>
      <c r="B114" s="17"/>
      <c r="C114" s="17"/>
      <c r="D114" s="17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05" customHeight="1">
      <c r="A115" s="16"/>
      <c r="B115" s="17"/>
      <c r="C115" s="17"/>
      <c r="D115" s="17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05" customHeight="1">
      <c r="A116" s="16"/>
      <c r="B116" s="17"/>
      <c r="C116" s="17"/>
      <c r="D116" s="17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05" customHeight="1">
      <c r="A117" s="16"/>
      <c r="B117" s="17"/>
      <c r="C117" s="17"/>
      <c r="D117" s="17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05" customHeight="1">
      <c r="A118" s="16"/>
      <c r="B118" s="17"/>
      <c r="C118" s="17"/>
      <c r="D118" s="17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05" customHeight="1">
      <c r="A119" s="16"/>
      <c r="B119" s="17"/>
      <c r="C119" s="17"/>
      <c r="D119" s="17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05" customHeight="1">
      <c r="A120" s="16"/>
      <c r="B120" s="17"/>
      <c r="C120" s="17"/>
      <c r="D120" s="17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05" customHeight="1">
      <c r="A121" s="16"/>
      <c r="B121" s="17"/>
      <c r="C121" s="17"/>
      <c r="D121" s="17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05" customHeight="1">
      <c r="A122" s="16"/>
      <c r="B122" s="17"/>
      <c r="C122" s="17"/>
      <c r="D122" s="17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05" customHeight="1">
      <c r="A123" s="16"/>
      <c r="B123" s="17"/>
      <c r="C123" s="17"/>
      <c r="D123" s="17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05" customHeight="1">
      <c r="A124" s="16"/>
      <c r="B124" s="17"/>
      <c r="C124" s="17"/>
      <c r="D124" s="17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05" customHeight="1">
      <c r="A125" s="16"/>
      <c r="B125" s="17"/>
      <c r="C125" s="17"/>
      <c r="D125" s="17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05" customHeight="1">
      <c r="A126" s="16"/>
      <c r="B126" s="17"/>
      <c r="C126" s="17"/>
      <c r="D126" s="17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05" customHeight="1">
      <c r="A127" s="16"/>
      <c r="B127" s="17"/>
      <c r="C127" s="17"/>
      <c r="D127" s="17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05" customHeight="1">
      <c r="A128" s="16"/>
      <c r="B128" s="17"/>
      <c r="C128" s="17"/>
      <c r="D128" s="17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05" customHeight="1">
      <c r="A129" s="16"/>
      <c r="B129" s="17"/>
      <c r="C129" s="17"/>
      <c r="D129" s="17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05" customHeight="1">
      <c r="A130" s="16"/>
      <c r="B130" s="17"/>
      <c r="C130" s="17"/>
      <c r="D130" s="17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05" customHeight="1">
      <c r="A131" s="16"/>
      <c r="B131" s="17"/>
      <c r="C131" s="17"/>
      <c r="D131" s="17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05" customHeight="1">
      <c r="A132" s="16"/>
      <c r="B132" s="17"/>
      <c r="C132" s="17"/>
      <c r="D132" s="17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05" customHeight="1">
      <c r="A133" s="16"/>
      <c r="B133" s="17"/>
      <c r="C133" s="17"/>
      <c r="D133" s="17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05" customHeight="1">
      <c r="A134" s="16"/>
      <c r="B134" s="17"/>
      <c r="C134" s="17"/>
      <c r="D134" s="17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05" customHeight="1">
      <c r="A135" s="16"/>
      <c r="B135" s="17"/>
      <c r="C135" s="17"/>
      <c r="D135" s="17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05" customHeight="1">
      <c r="A136" s="16"/>
      <c r="B136" s="17"/>
      <c r="C136" s="17"/>
      <c r="D136" s="17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05" customHeight="1">
      <c r="A137" s="16"/>
      <c r="B137" s="17"/>
      <c r="C137" s="17"/>
      <c r="D137" s="17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05" customHeight="1">
      <c r="A138" s="16"/>
      <c r="B138" s="17"/>
      <c r="C138" s="17"/>
      <c r="D138" s="17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05" customHeight="1">
      <c r="A139" s="16"/>
      <c r="B139" s="17"/>
      <c r="C139" s="17"/>
      <c r="D139" s="17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05" customHeight="1">
      <c r="A140" s="16"/>
      <c r="B140" s="17"/>
      <c r="C140" s="17"/>
      <c r="D140" s="17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05" customHeight="1">
      <c r="A141" s="16"/>
      <c r="B141" s="17"/>
      <c r="C141" s="17"/>
      <c r="D141" s="17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05" customHeight="1">
      <c r="A142" s="16"/>
      <c r="B142" s="17"/>
      <c r="C142" s="17"/>
      <c r="D142" s="17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05" customHeight="1">
      <c r="A143" s="16"/>
      <c r="B143" s="17"/>
      <c r="C143" s="17"/>
      <c r="D143" s="17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05" customHeight="1">
      <c r="A144" s="16"/>
      <c r="B144" s="17"/>
      <c r="C144" s="17"/>
      <c r="D144" s="17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05" customHeight="1">
      <c r="A145" s="16"/>
      <c r="B145" s="17"/>
      <c r="C145" s="17"/>
      <c r="D145" s="17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05" customHeight="1">
      <c r="A146" s="16"/>
      <c r="B146" s="17"/>
      <c r="C146" s="17"/>
      <c r="D146" s="17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05" customHeight="1">
      <c r="A147" s="16"/>
      <c r="B147" s="17"/>
      <c r="C147" s="17"/>
      <c r="D147" s="17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05" customHeight="1">
      <c r="A148" s="16"/>
      <c r="B148" s="17"/>
      <c r="C148" s="17"/>
      <c r="D148" s="17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05" customHeight="1">
      <c r="A149" s="16"/>
      <c r="B149" s="17"/>
      <c r="C149" s="17"/>
      <c r="D149" s="17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05" customHeight="1">
      <c r="A150" s="16"/>
      <c r="B150" s="17"/>
      <c r="C150" s="17"/>
      <c r="D150" s="17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05" customHeight="1">
      <c r="A151" s="16"/>
      <c r="B151" s="17"/>
      <c r="C151" s="17"/>
      <c r="D151" s="17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05" customHeight="1">
      <c r="A152" s="16"/>
      <c r="B152" s="17"/>
      <c r="C152" s="17"/>
      <c r="D152" s="17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05" customHeight="1">
      <c r="A153" s="16"/>
      <c r="B153" s="17"/>
      <c r="C153" s="17"/>
      <c r="D153" s="17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05" customHeight="1">
      <c r="A154" s="16"/>
      <c r="B154" s="17"/>
      <c r="C154" s="17"/>
      <c r="D154" s="17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05" customHeight="1">
      <c r="A155" s="16"/>
      <c r="B155" s="17"/>
      <c r="C155" s="17"/>
      <c r="D155" s="17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05" customHeight="1">
      <c r="A156" s="16"/>
      <c r="B156" s="17"/>
      <c r="C156" s="17"/>
      <c r="D156" s="17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05" customHeight="1">
      <c r="A157" s="16"/>
      <c r="B157" s="17"/>
      <c r="C157" s="17"/>
      <c r="D157" s="17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05" customHeight="1">
      <c r="A158" s="16"/>
      <c r="B158" s="17"/>
      <c r="C158" s="17"/>
      <c r="D158" s="17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05" customHeight="1">
      <c r="A159" s="16"/>
      <c r="B159" s="17"/>
      <c r="C159" s="17"/>
      <c r="D159" s="17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05" customHeight="1">
      <c r="A160" s="16"/>
      <c r="B160" s="17"/>
      <c r="C160" s="17"/>
      <c r="D160" s="17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05" customHeight="1">
      <c r="A161" s="16"/>
      <c r="B161" s="17"/>
      <c r="C161" s="17"/>
      <c r="D161" s="17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05" customHeight="1">
      <c r="A162" s="16"/>
      <c r="B162" s="17"/>
      <c r="C162" s="17"/>
      <c r="D162" s="17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05" customHeight="1">
      <c r="A163" s="16"/>
      <c r="B163" s="17"/>
      <c r="C163" s="17"/>
      <c r="D163" s="17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05" customHeight="1">
      <c r="A164" s="16"/>
      <c r="B164" s="17"/>
      <c r="C164" s="17"/>
      <c r="D164" s="17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05" customHeight="1">
      <c r="A165" s="16"/>
      <c r="B165" s="17"/>
      <c r="C165" s="17"/>
      <c r="D165" s="17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05" customHeight="1">
      <c r="A166" s="16"/>
      <c r="B166" s="17"/>
      <c r="C166" s="17"/>
      <c r="D166" s="17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05" customHeight="1">
      <c r="A167" s="16"/>
      <c r="B167" s="17"/>
      <c r="C167" s="17"/>
      <c r="D167" s="17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05" customHeight="1">
      <c r="A168" s="16"/>
      <c r="B168" s="17"/>
      <c r="C168" s="17"/>
      <c r="D168" s="17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05" customHeight="1">
      <c r="A169" s="16"/>
      <c r="B169" s="17"/>
      <c r="C169" s="17"/>
      <c r="D169" s="17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05" customHeight="1">
      <c r="A170" s="16"/>
      <c r="B170" s="17"/>
      <c r="C170" s="17"/>
      <c r="D170" s="17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05" customHeight="1">
      <c r="A171" s="16"/>
      <c r="B171" s="17"/>
      <c r="C171" s="17"/>
      <c r="D171" s="17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05" customHeight="1">
      <c r="A172" s="16"/>
      <c r="B172" s="17"/>
      <c r="C172" s="17"/>
      <c r="D172" s="17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05" customHeight="1">
      <c r="A173" s="16"/>
      <c r="B173" s="17"/>
      <c r="C173" s="17"/>
      <c r="D173" s="17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05" customHeight="1">
      <c r="A174" s="16"/>
      <c r="B174" s="17"/>
      <c r="C174" s="17"/>
      <c r="D174" s="17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05" customHeight="1">
      <c r="A175" s="16"/>
      <c r="B175" s="17"/>
      <c r="C175" s="17"/>
      <c r="D175" s="17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05" customHeight="1">
      <c r="A176" s="16"/>
      <c r="B176" s="17"/>
      <c r="C176" s="17"/>
      <c r="D176" s="17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05" customHeight="1">
      <c r="A177" s="16"/>
      <c r="B177" s="17"/>
      <c r="C177" s="17"/>
      <c r="D177" s="17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05" customHeight="1">
      <c r="A178" s="16"/>
      <c r="B178" s="17"/>
      <c r="C178" s="17"/>
      <c r="D178" s="17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05" customHeight="1">
      <c r="A179" s="16"/>
      <c r="B179" s="17"/>
      <c r="C179" s="17"/>
      <c r="D179" s="17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05" customHeight="1">
      <c r="A180" s="16"/>
      <c r="B180" s="17"/>
      <c r="C180" s="17"/>
      <c r="D180" s="17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05" customHeight="1">
      <c r="A181" s="16"/>
      <c r="B181" s="17"/>
      <c r="C181" s="17"/>
      <c r="D181" s="17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05" customHeight="1">
      <c r="A182" s="16"/>
      <c r="B182" s="17"/>
      <c r="C182" s="17"/>
      <c r="D182" s="17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05" customHeight="1">
      <c r="A183" s="16"/>
      <c r="B183" s="17"/>
      <c r="C183" s="17"/>
      <c r="D183" s="17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05" customHeight="1">
      <c r="A184" s="16"/>
      <c r="B184" s="17"/>
      <c r="C184" s="17"/>
      <c r="D184" s="17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05" customHeight="1">
      <c r="A185" s="16"/>
      <c r="B185" s="17"/>
      <c r="C185" s="17"/>
      <c r="D185" s="17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05" customHeight="1">
      <c r="A186" s="16"/>
      <c r="B186" s="17"/>
      <c r="C186" s="17"/>
      <c r="D186" s="17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05" customHeight="1">
      <c r="A187" s="16"/>
      <c r="B187" s="17"/>
      <c r="C187" s="17"/>
      <c r="D187" s="17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05" customHeight="1">
      <c r="A188" s="16"/>
      <c r="B188" s="17"/>
      <c r="C188" s="17"/>
      <c r="D188" s="17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05" customHeight="1">
      <c r="A189" s="16"/>
      <c r="B189" s="17"/>
      <c r="C189" s="17"/>
      <c r="D189" s="17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05" customHeight="1">
      <c r="A190" s="16"/>
      <c r="B190" s="17"/>
      <c r="C190" s="17"/>
      <c r="D190" s="17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05" customHeight="1">
      <c r="A191" s="16"/>
      <c r="B191" s="17"/>
      <c r="C191" s="17"/>
      <c r="D191" s="17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05" customHeight="1">
      <c r="A192" s="16"/>
      <c r="B192" s="17"/>
      <c r="C192" s="17"/>
      <c r="D192" s="17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05" customHeight="1">
      <c r="A193" s="16"/>
      <c r="B193" s="17"/>
      <c r="C193" s="17"/>
      <c r="D193" s="17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05" customHeight="1">
      <c r="A194" s="16"/>
      <c r="B194" s="17"/>
      <c r="C194" s="17"/>
      <c r="D194" s="17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05" customHeight="1">
      <c r="A195" s="16"/>
      <c r="B195" s="17"/>
      <c r="C195" s="17"/>
      <c r="D195" s="17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05" customHeight="1">
      <c r="A196" s="16"/>
      <c r="B196" s="17"/>
      <c r="C196" s="17"/>
      <c r="D196" s="17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05" customHeight="1">
      <c r="A197" s="16"/>
      <c r="B197" s="17"/>
      <c r="C197" s="17"/>
      <c r="D197" s="17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05" customHeight="1">
      <c r="A198" s="16"/>
      <c r="B198" s="17"/>
      <c r="C198" s="17"/>
      <c r="D198" s="17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05" customHeight="1">
      <c r="A199" s="16"/>
      <c r="B199" s="17"/>
      <c r="C199" s="17"/>
      <c r="D199" s="17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05" customHeight="1">
      <c r="A200" s="16"/>
      <c r="B200" s="17"/>
      <c r="C200" s="17"/>
      <c r="D200" s="17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05" customHeight="1">
      <c r="A201" s="16"/>
      <c r="B201" s="17"/>
      <c r="C201" s="17"/>
      <c r="D201" s="17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05" customHeight="1">
      <c r="A202" s="16"/>
      <c r="B202" s="17"/>
      <c r="C202" s="17"/>
      <c r="D202" s="17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05" customHeight="1">
      <c r="A203" s="16"/>
      <c r="B203" s="17"/>
      <c r="C203" s="17"/>
      <c r="D203" s="17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05" customHeight="1">
      <c r="A204" s="16"/>
      <c r="B204" s="17"/>
      <c r="C204" s="17"/>
      <c r="D204" s="17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05" customHeight="1">
      <c r="A205" s="16"/>
      <c r="B205" s="17"/>
      <c r="C205" s="17"/>
      <c r="D205" s="17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05" customHeight="1">
      <c r="A206" s="16"/>
      <c r="B206" s="17"/>
      <c r="C206" s="17"/>
      <c r="D206" s="17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05" customHeight="1">
      <c r="A207" s="16"/>
      <c r="B207" s="17"/>
      <c r="C207" s="17"/>
      <c r="D207" s="17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05" customHeight="1">
      <c r="A208" s="16"/>
      <c r="B208" s="17"/>
      <c r="C208" s="17"/>
      <c r="D208" s="17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05" customHeight="1">
      <c r="A209" s="16"/>
      <c r="B209" s="17"/>
      <c r="C209" s="17"/>
      <c r="D209" s="17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05" customHeight="1">
      <c r="A210" s="16"/>
      <c r="B210" s="17"/>
      <c r="C210" s="17"/>
      <c r="D210" s="17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05" customHeight="1">
      <c r="A211" s="16"/>
      <c r="B211" s="17"/>
      <c r="C211" s="17"/>
      <c r="D211" s="17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05" customHeight="1">
      <c r="A212" s="16"/>
      <c r="B212" s="17"/>
      <c r="C212" s="17"/>
      <c r="D212" s="17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05" customHeight="1">
      <c r="A213" s="16"/>
      <c r="B213" s="17"/>
      <c r="C213" s="17"/>
      <c r="D213" s="17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05" customHeight="1">
      <c r="A214" s="16"/>
      <c r="B214" s="17"/>
      <c r="C214" s="17"/>
      <c r="D214" s="17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05" customHeight="1">
      <c r="A215" s="16"/>
      <c r="B215" s="17"/>
      <c r="C215" s="17"/>
      <c r="D215" s="17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05" customHeight="1">
      <c r="A216" s="16"/>
      <c r="B216" s="17"/>
      <c r="C216" s="17"/>
      <c r="D216" s="17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05" customHeight="1">
      <c r="A217" s="16"/>
      <c r="B217" s="17"/>
      <c r="C217" s="17"/>
      <c r="D217" s="17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05" customHeight="1">
      <c r="A218" s="16"/>
      <c r="B218" s="17"/>
      <c r="C218" s="17"/>
      <c r="D218" s="17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05" customHeight="1">
      <c r="A219" s="16"/>
      <c r="B219" s="17"/>
      <c r="C219" s="17"/>
      <c r="D219" s="17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05" customHeight="1">
      <c r="A220" s="16"/>
      <c r="B220" s="17"/>
      <c r="C220" s="17"/>
      <c r="D220" s="17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05" customHeight="1">
      <c r="A221" s="16"/>
      <c r="B221" s="17"/>
      <c r="C221" s="17"/>
      <c r="D221" s="17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05" customHeight="1">
      <c r="A222" s="16"/>
      <c r="B222" s="17"/>
      <c r="C222" s="17"/>
      <c r="D222" s="17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05" customHeight="1">
      <c r="A223" s="16"/>
      <c r="B223" s="17"/>
      <c r="C223" s="17"/>
      <c r="D223" s="17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05" customHeight="1">
      <c r="A224" s="16"/>
      <c r="B224" s="17"/>
      <c r="C224" s="17"/>
      <c r="D224" s="17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05" customHeight="1">
      <c r="A225" s="16"/>
      <c r="B225" s="17"/>
      <c r="C225" s="17"/>
      <c r="D225" s="17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05" customHeight="1">
      <c r="A226" s="16"/>
      <c r="B226" s="17"/>
      <c r="C226" s="17"/>
      <c r="D226" s="17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05" customHeight="1">
      <c r="A227" s="16"/>
      <c r="B227" s="17"/>
      <c r="C227" s="17"/>
      <c r="D227" s="17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05" customHeight="1">
      <c r="A228" s="16"/>
      <c r="B228" s="17"/>
      <c r="C228" s="17"/>
      <c r="D228" s="17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05" customHeight="1">
      <c r="A229" s="16"/>
      <c r="B229" s="17"/>
      <c r="C229" s="17"/>
      <c r="D229" s="17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05" customHeight="1">
      <c r="A230" s="16"/>
      <c r="B230" s="17"/>
      <c r="C230" s="17"/>
      <c r="D230" s="17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05" customHeight="1">
      <c r="A231" s="16"/>
      <c r="B231" s="17"/>
      <c r="C231" s="17"/>
      <c r="D231" s="17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05" customHeight="1">
      <c r="A232" s="16"/>
      <c r="B232" s="17"/>
      <c r="C232" s="17"/>
      <c r="D232" s="17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05" customHeight="1">
      <c r="A233" s="16"/>
      <c r="B233" s="17"/>
      <c r="C233" s="17"/>
      <c r="D233" s="17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05" customHeight="1">
      <c r="A234" s="16"/>
      <c r="B234" s="17"/>
      <c r="C234" s="17"/>
      <c r="D234" s="17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05" customHeight="1">
      <c r="A235" s="16"/>
      <c r="B235" s="17"/>
      <c r="C235" s="17"/>
      <c r="D235" s="17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05" customHeight="1">
      <c r="A236" s="16"/>
      <c r="B236" s="17"/>
      <c r="C236" s="17"/>
      <c r="D236" s="17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05" customHeight="1">
      <c r="A237" s="16"/>
      <c r="B237" s="17"/>
      <c r="C237" s="17"/>
      <c r="D237" s="17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05" customHeight="1">
      <c r="A238" s="16"/>
      <c r="B238" s="17"/>
      <c r="C238" s="17"/>
      <c r="D238" s="17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05" customHeight="1">
      <c r="A239" s="16"/>
      <c r="B239" s="17"/>
      <c r="C239" s="17"/>
      <c r="D239" s="17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05" customHeight="1">
      <c r="A240" s="16"/>
      <c r="B240" s="17"/>
      <c r="C240" s="17"/>
      <c r="D240" s="17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05" customHeight="1">
      <c r="A241" s="16"/>
      <c r="B241" s="17"/>
      <c r="C241" s="17"/>
      <c r="D241" s="17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05" customHeight="1">
      <c r="A242" s="16"/>
      <c r="B242" s="17"/>
      <c r="C242" s="17"/>
      <c r="D242" s="17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05" customHeight="1">
      <c r="A243" s="16"/>
      <c r="B243" s="17"/>
      <c r="C243" s="17"/>
      <c r="D243" s="17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05" customHeight="1">
      <c r="A244" s="16"/>
      <c r="B244" s="17"/>
      <c r="C244" s="17"/>
      <c r="D244" s="17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05" customHeight="1">
      <c r="A245" s="16"/>
      <c r="B245" s="17"/>
      <c r="C245" s="17"/>
      <c r="D245" s="17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05" customHeight="1">
      <c r="A246" s="16"/>
      <c r="B246" s="17"/>
      <c r="C246" s="17"/>
      <c r="D246" s="17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05" customHeight="1">
      <c r="A247" s="16"/>
      <c r="B247" s="17"/>
      <c r="C247" s="17"/>
      <c r="D247" s="17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05" customHeight="1">
      <c r="A248" s="16"/>
      <c r="B248" s="17"/>
      <c r="C248" s="17"/>
      <c r="D248" s="17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05" customHeight="1">
      <c r="A249" s="16"/>
      <c r="B249" s="17"/>
      <c r="C249" s="17"/>
      <c r="D249" s="17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05" customHeight="1">
      <c r="A250" s="16"/>
      <c r="B250" s="17"/>
      <c r="C250" s="17"/>
      <c r="D250" s="17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05" customHeight="1">
      <c r="A251" s="16"/>
      <c r="B251" s="17"/>
      <c r="C251" s="17"/>
      <c r="D251" s="17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05" customHeight="1">
      <c r="A252" s="16"/>
      <c r="B252" s="17"/>
      <c r="C252" s="17"/>
      <c r="D252" s="17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05" customHeight="1">
      <c r="A253" s="16"/>
      <c r="B253" s="17"/>
      <c r="C253" s="17"/>
      <c r="D253" s="17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05" customHeight="1">
      <c r="A254" s="16"/>
      <c r="B254" s="17"/>
      <c r="C254" s="17"/>
      <c r="D254" s="17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05" customHeight="1">
      <c r="A255" s="16"/>
      <c r="B255" s="17"/>
      <c r="C255" s="17"/>
      <c r="D255" s="17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05" customHeight="1">
      <c r="A256" s="16"/>
      <c r="B256" s="17"/>
      <c r="C256" s="17"/>
      <c r="D256" s="17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05" customHeight="1">
      <c r="A257" s="16"/>
      <c r="B257" s="17"/>
      <c r="C257" s="17"/>
      <c r="D257" s="17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05" customHeight="1">
      <c r="A258" s="16"/>
      <c r="B258" s="17"/>
      <c r="C258" s="17"/>
      <c r="D258" s="17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05" customHeight="1">
      <c r="A259" s="16"/>
      <c r="B259" s="17"/>
      <c r="C259" s="17"/>
      <c r="D259" s="17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05" customHeight="1">
      <c r="A260" s="16"/>
      <c r="B260" s="17"/>
      <c r="C260" s="17"/>
      <c r="D260" s="17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05" customHeight="1">
      <c r="A261" s="16"/>
      <c r="B261" s="17"/>
      <c r="C261" s="17"/>
      <c r="D261" s="17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05" customHeight="1">
      <c r="A262" s="16"/>
      <c r="B262" s="17"/>
      <c r="C262" s="17"/>
      <c r="D262" s="17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05" customHeight="1">
      <c r="A263" s="16"/>
      <c r="B263" s="17"/>
      <c r="C263" s="17"/>
      <c r="D263" s="17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05" customHeight="1">
      <c r="A264" s="16"/>
      <c r="B264" s="17"/>
      <c r="C264" s="17"/>
      <c r="D264" s="17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05" customHeight="1">
      <c r="A265" s="16"/>
      <c r="B265" s="17"/>
      <c r="C265" s="17"/>
      <c r="D265" s="17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05" customHeight="1">
      <c r="A266" s="16"/>
      <c r="B266" s="17"/>
      <c r="C266" s="17"/>
      <c r="D266" s="17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05" customHeight="1">
      <c r="A267" s="16"/>
      <c r="B267" s="17"/>
      <c r="C267" s="17"/>
      <c r="D267" s="17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05" customHeight="1">
      <c r="A268" s="16"/>
      <c r="B268" s="17"/>
      <c r="C268" s="17"/>
      <c r="D268" s="17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05" customHeight="1">
      <c r="A269" s="16"/>
      <c r="B269" s="17"/>
      <c r="C269" s="17"/>
      <c r="D269" s="17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05" customHeight="1">
      <c r="A270" s="16"/>
      <c r="B270" s="17"/>
      <c r="C270" s="17"/>
      <c r="D270" s="17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05" customHeight="1">
      <c r="A271" s="16"/>
      <c r="B271" s="17"/>
      <c r="C271" s="17"/>
      <c r="D271" s="17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05" customHeight="1">
      <c r="A272" s="16"/>
      <c r="B272" s="17"/>
      <c r="C272" s="17"/>
      <c r="D272" s="17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05" customHeight="1">
      <c r="A273" s="16"/>
      <c r="B273" s="17"/>
      <c r="C273" s="17"/>
      <c r="D273" s="17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05" customHeight="1">
      <c r="A274" s="16"/>
      <c r="B274" s="17"/>
      <c r="C274" s="17"/>
      <c r="D274" s="17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05" customHeight="1">
      <c r="A275" s="16"/>
      <c r="B275" s="17"/>
      <c r="C275" s="17"/>
      <c r="D275" s="17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05" customHeight="1">
      <c r="A276" s="16"/>
      <c r="B276" s="17"/>
      <c r="C276" s="17"/>
      <c r="D276" s="17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05" customHeight="1">
      <c r="A277" s="16"/>
      <c r="B277" s="17"/>
      <c r="C277" s="17"/>
      <c r="D277" s="17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05" customHeight="1">
      <c r="A278" s="16"/>
      <c r="B278" s="17"/>
      <c r="C278" s="17"/>
      <c r="D278" s="17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05" customHeight="1">
      <c r="A279" s="16"/>
      <c r="B279" s="17"/>
      <c r="C279" s="17"/>
      <c r="D279" s="17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05" customHeight="1">
      <c r="A280" s="16"/>
      <c r="B280" s="17"/>
      <c r="C280" s="17"/>
      <c r="D280" s="17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05" customHeight="1">
      <c r="A281" s="16"/>
      <c r="B281" s="17"/>
      <c r="C281" s="17"/>
      <c r="D281" s="17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05" customHeight="1">
      <c r="A282" s="16"/>
      <c r="B282" s="17"/>
      <c r="C282" s="17"/>
      <c r="D282" s="17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05" customHeight="1">
      <c r="A283" s="16"/>
      <c r="B283" s="17"/>
      <c r="C283" s="17"/>
      <c r="D283" s="17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05" customHeight="1">
      <c r="A284" s="16"/>
      <c r="B284" s="17"/>
      <c r="C284" s="17"/>
      <c r="D284" s="17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05" customHeight="1">
      <c r="A285" s="16"/>
      <c r="B285" s="17"/>
      <c r="C285" s="17"/>
      <c r="D285" s="17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05" customHeight="1">
      <c r="A286" s="16"/>
      <c r="B286" s="17"/>
      <c r="C286" s="17"/>
      <c r="D286" s="17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05" customHeight="1">
      <c r="A287" s="16"/>
      <c r="B287" s="17"/>
      <c r="C287" s="17"/>
      <c r="D287" s="17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05" customHeight="1">
      <c r="A288" s="16"/>
      <c r="B288" s="17"/>
      <c r="C288" s="17"/>
      <c r="D288" s="17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05" customHeight="1">
      <c r="A289" s="16"/>
      <c r="B289" s="17"/>
      <c r="C289" s="17"/>
      <c r="D289" s="17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05" customHeight="1">
      <c r="A290" s="16"/>
      <c r="B290" s="17"/>
      <c r="C290" s="17"/>
      <c r="D290" s="17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05" customHeight="1">
      <c r="A291" s="16"/>
      <c r="B291" s="17"/>
      <c r="C291" s="17"/>
      <c r="D291" s="17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05" customHeight="1">
      <c r="A292" s="16"/>
      <c r="B292" s="17"/>
      <c r="C292" s="17"/>
      <c r="D292" s="17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05" customHeight="1">
      <c r="A293" s="16"/>
      <c r="B293" s="17"/>
      <c r="C293" s="17"/>
      <c r="D293" s="17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05" customHeight="1">
      <c r="A294" s="16"/>
      <c r="B294" s="17"/>
      <c r="C294" s="17"/>
      <c r="D294" s="17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05" customHeight="1">
      <c r="A295" s="16"/>
      <c r="B295" s="17"/>
      <c r="C295" s="17"/>
      <c r="D295" s="17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05" customHeight="1">
      <c r="A296" s="16"/>
      <c r="B296" s="17"/>
      <c r="C296" s="17"/>
      <c r="D296" s="17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05" customHeight="1">
      <c r="A297" s="16"/>
      <c r="B297" s="17"/>
      <c r="C297" s="17"/>
      <c r="D297" s="17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05" customHeight="1">
      <c r="A298" s="16"/>
      <c r="B298" s="17"/>
      <c r="C298" s="17"/>
      <c r="D298" s="17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05" customHeight="1">
      <c r="A299" s="16"/>
      <c r="B299" s="17"/>
      <c r="C299" s="17"/>
      <c r="D299" s="17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05" customHeight="1">
      <c r="A300" s="16"/>
      <c r="B300" s="17"/>
      <c r="C300" s="17"/>
      <c r="D300" s="17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05" customHeight="1">
      <c r="A301" s="16"/>
      <c r="B301" s="17"/>
      <c r="C301" s="17"/>
      <c r="D301" s="17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05" customHeight="1">
      <c r="A302" s="16"/>
      <c r="B302" s="17"/>
      <c r="C302" s="17"/>
      <c r="D302" s="17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05" customHeight="1">
      <c r="A303" s="16"/>
      <c r="B303" s="17"/>
      <c r="C303" s="17"/>
      <c r="D303" s="17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05" customHeight="1">
      <c r="A304" s="16"/>
      <c r="B304" s="17"/>
      <c r="C304" s="17"/>
      <c r="D304" s="17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05" customHeight="1">
      <c r="A305" s="16"/>
      <c r="B305" s="17"/>
      <c r="C305" s="17"/>
      <c r="D305" s="17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05" customHeight="1">
      <c r="A306" s="16"/>
      <c r="B306" s="17"/>
      <c r="C306" s="17"/>
      <c r="D306" s="17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/>
    <row r="308" spans="1:14" ht="15.75" customHeight="1"/>
    <row r="309" spans="1:14" ht="15.75" customHeight="1"/>
    <row r="310" spans="1:14" ht="15.75" customHeight="1"/>
    <row r="311" spans="1:14" ht="15.75" customHeight="1"/>
    <row r="312" spans="1:14" ht="15.75" customHeight="1"/>
    <row r="313" spans="1:14" ht="15.75" customHeight="1"/>
    <row r="314" spans="1:14" ht="15.75" customHeight="1"/>
    <row r="315" spans="1:14" ht="15.75" customHeight="1"/>
    <row r="316" spans="1:14" ht="15.75" customHeight="1"/>
    <row r="317" spans="1:14" ht="15.75" customHeight="1"/>
    <row r="318" spans="1:14" ht="15.75" customHeight="1"/>
    <row r="319" spans="1:14" ht="15.75" customHeight="1"/>
    <row r="320" spans="1:1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1:J1"/>
    <mergeCell ref="A2:A3"/>
    <mergeCell ref="B2:B3"/>
    <mergeCell ref="C2:C3"/>
    <mergeCell ref="D2:D3"/>
    <mergeCell ref="E2:F2"/>
    <mergeCell ref="G2:H2"/>
    <mergeCell ref="G60:H60"/>
    <mergeCell ref="I60:J60"/>
    <mergeCell ref="I2:J2"/>
    <mergeCell ref="C59:J59"/>
    <mergeCell ref="A60:A61"/>
    <mergeCell ref="B60:B61"/>
    <mergeCell ref="C60:C61"/>
    <mergeCell ref="D60:D61"/>
    <mergeCell ref="E60:F60"/>
  </mergeCells>
  <printOptions horizontalCentered="1"/>
  <pageMargins left="0.54" right="0" top="0" bottom="0.26" header="0" footer="0"/>
  <pageSetup paperSize="9" orientation="landscape"/>
  <headerFooter>
    <oddHeader>&amp;CGIẢI VÔ ĐỊCH VOVINAM        TOÀN QUỐC LẦN THỨ 26 NĂM 2019   Từ ngày 15/10 đến 24/10/2019 tại Nhà thi đấu TDTT tỉnh Quảng Nam.</oddHeader>
  </headerFooter>
  <rowBreaks count="1" manualBreakCount="1">
    <brk id="5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C2E5"/>
  </sheetPr>
  <dimension ref="A1:T1002"/>
  <sheetViews>
    <sheetView workbookViewId="0">
      <pane xSplit="3" topLeftCell="D1" activePane="topRight" state="frozen"/>
      <selection pane="topRight" activeCell="E2" sqref="E2:F2"/>
    </sheetView>
  </sheetViews>
  <sheetFormatPr defaultColWidth="12.6328125" defaultRowHeight="15.05" customHeight="1"/>
  <cols>
    <col min="1" max="1" width="6.08984375" customWidth="1"/>
    <col min="2" max="2" width="6.7265625" customWidth="1"/>
    <col min="3" max="3" width="13.36328125" customWidth="1"/>
    <col min="4" max="4" width="15.6328125" customWidth="1"/>
    <col min="5" max="5" width="17" customWidth="1"/>
    <col min="6" max="6" width="17.26953125" customWidth="1"/>
    <col min="7" max="7" width="17" customWidth="1"/>
    <col min="8" max="8" width="20.6328125" customWidth="1"/>
    <col min="9" max="9" width="14.08984375" customWidth="1"/>
    <col min="10" max="10" width="20.36328125" customWidth="1"/>
    <col min="11" max="14" width="8.6328125" customWidth="1"/>
  </cols>
  <sheetData>
    <row r="1" spans="1:20" ht="42.05" customHeight="1">
      <c r="A1" s="1"/>
      <c r="B1" s="2"/>
      <c r="C1" s="46" t="s">
        <v>310</v>
      </c>
      <c r="D1" s="47"/>
      <c r="E1" s="47"/>
      <c r="F1" s="47"/>
      <c r="G1" s="47"/>
      <c r="H1" s="47"/>
      <c r="I1" s="47"/>
      <c r="J1" s="51"/>
      <c r="K1" s="3"/>
      <c r="L1" s="3"/>
      <c r="M1" s="3"/>
      <c r="N1" s="3"/>
      <c r="O1" s="29"/>
      <c r="P1" s="29"/>
      <c r="Q1" s="29"/>
      <c r="R1" s="29"/>
      <c r="S1" s="29"/>
      <c r="T1" s="29"/>
    </row>
    <row r="2" spans="1:20" ht="15.05" customHeight="1">
      <c r="A2" s="54" t="s">
        <v>1</v>
      </c>
      <c r="B2" s="54" t="s">
        <v>2</v>
      </c>
      <c r="C2" s="54" t="s">
        <v>3</v>
      </c>
      <c r="D2" s="54" t="s">
        <v>4</v>
      </c>
      <c r="E2" s="50" t="s">
        <v>5</v>
      </c>
      <c r="F2" s="51"/>
      <c r="G2" s="52" t="s">
        <v>6</v>
      </c>
      <c r="H2" s="51"/>
      <c r="I2" s="53" t="s">
        <v>7</v>
      </c>
      <c r="J2" s="51"/>
      <c r="K2" s="3"/>
      <c r="L2" s="3"/>
      <c r="M2" s="3"/>
      <c r="N2" s="3"/>
      <c r="O2" s="29"/>
      <c r="P2" s="29"/>
      <c r="Q2" s="29"/>
      <c r="R2" s="29"/>
      <c r="S2" s="29"/>
      <c r="T2" s="29"/>
    </row>
    <row r="3" spans="1:20" ht="15.05" customHeight="1">
      <c r="A3" s="49"/>
      <c r="B3" s="49"/>
      <c r="C3" s="49"/>
      <c r="D3" s="49"/>
      <c r="E3" s="5" t="s">
        <v>8</v>
      </c>
      <c r="F3" s="5" t="s">
        <v>9</v>
      </c>
      <c r="G3" s="6" t="s">
        <v>8</v>
      </c>
      <c r="H3" s="6" t="s">
        <v>9</v>
      </c>
      <c r="I3" s="7" t="s">
        <v>8</v>
      </c>
      <c r="J3" s="21" t="s">
        <v>9</v>
      </c>
      <c r="K3" s="3"/>
      <c r="L3" s="3"/>
      <c r="M3" s="22"/>
      <c r="N3" s="22"/>
      <c r="O3" s="29"/>
      <c r="P3" s="29"/>
      <c r="Q3" s="29"/>
      <c r="R3" s="29"/>
      <c r="S3" s="29"/>
      <c r="T3" s="29"/>
    </row>
    <row r="4" spans="1:20" ht="15.05" customHeight="1">
      <c r="A4" s="1">
        <v>1</v>
      </c>
      <c r="B4" s="10">
        <v>1</v>
      </c>
      <c r="C4" s="10" t="s">
        <v>311</v>
      </c>
      <c r="D4" s="10" t="s">
        <v>11</v>
      </c>
      <c r="E4" s="12" t="s">
        <v>312</v>
      </c>
      <c r="F4" s="12" t="s">
        <v>59</v>
      </c>
      <c r="G4" s="11" t="s">
        <v>39</v>
      </c>
      <c r="H4" s="11" t="s">
        <v>65</v>
      </c>
      <c r="I4" s="12" t="s">
        <v>39</v>
      </c>
      <c r="J4" s="12" t="s">
        <v>65</v>
      </c>
      <c r="K4" s="22"/>
      <c r="L4" s="22"/>
      <c r="M4" s="3"/>
      <c r="N4" s="3"/>
      <c r="O4" s="29"/>
      <c r="P4" s="29"/>
      <c r="Q4" s="29"/>
      <c r="R4" s="29"/>
      <c r="S4" s="29"/>
      <c r="T4" s="29"/>
    </row>
    <row r="5" spans="1:20" ht="15.05" customHeight="1">
      <c r="A5" s="1">
        <v>2</v>
      </c>
      <c r="B5" s="10">
        <v>1</v>
      </c>
      <c r="C5" s="10" t="s">
        <v>311</v>
      </c>
      <c r="D5" s="10" t="s">
        <v>11</v>
      </c>
      <c r="E5" s="12" t="s">
        <v>313</v>
      </c>
      <c r="F5" s="12" t="s">
        <v>15</v>
      </c>
      <c r="G5" s="11" t="s">
        <v>314</v>
      </c>
      <c r="H5" s="11" t="s">
        <v>62</v>
      </c>
      <c r="I5" s="12" t="s">
        <v>314</v>
      </c>
      <c r="J5" s="12" t="s">
        <v>62</v>
      </c>
      <c r="K5" s="3"/>
      <c r="L5" s="3"/>
      <c r="M5" s="3"/>
      <c r="N5" s="3"/>
      <c r="O5" s="29"/>
      <c r="P5" s="29"/>
      <c r="Q5" s="29"/>
      <c r="R5" s="29"/>
      <c r="S5" s="29"/>
      <c r="T5" s="29"/>
    </row>
    <row r="6" spans="1:20" ht="15.05" customHeight="1">
      <c r="A6" s="1">
        <v>3</v>
      </c>
      <c r="B6" s="10">
        <v>1</v>
      </c>
      <c r="C6" s="10" t="s">
        <v>315</v>
      </c>
      <c r="D6" s="10" t="s">
        <v>11</v>
      </c>
      <c r="E6" s="11" t="s">
        <v>316</v>
      </c>
      <c r="F6" s="11" t="s">
        <v>44</v>
      </c>
      <c r="G6" s="12" t="s">
        <v>317</v>
      </c>
      <c r="H6" s="12" t="s">
        <v>59</v>
      </c>
      <c r="I6" s="12" t="s">
        <v>318</v>
      </c>
      <c r="J6" s="12" t="s">
        <v>44</v>
      </c>
      <c r="K6" s="3"/>
      <c r="L6" s="3"/>
      <c r="M6" s="3"/>
      <c r="N6" s="3"/>
      <c r="O6" s="29"/>
      <c r="P6" s="29"/>
      <c r="Q6" s="29"/>
      <c r="R6" s="29"/>
      <c r="S6" s="29"/>
      <c r="T6" s="29"/>
    </row>
    <row r="7" spans="1:20" ht="15.05" customHeight="1">
      <c r="A7" s="1">
        <v>4</v>
      </c>
      <c r="B7" s="10">
        <v>1</v>
      </c>
      <c r="C7" s="10" t="s">
        <v>315</v>
      </c>
      <c r="D7" s="10" t="s">
        <v>11</v>
      </c>
      <c r="E7" s="12" t="s">
        <v>319</v>
      </c>
      <c r="F7" s="12" t="s">
        <v>34</v>
      </c>
      <c r="G7" s="11" t="s">
        <v>320</v>
      </c>
      <c r="H7" s="11" t="s">
        <v>88</v>
      </c>
      <c r="I7" s="12" t="s">
        <v>320</v>
      </c>
      <c r="J7" s="12" t="s">
        <v>88</v>
      </c>
      <c r="K7" s="3"/>
      <c r="L7" s="3"/>
      <c r="M7" s="3"/>
      <c r="N7" s="3"/>
      <c r="O7" s="29"/>
      <c r="P7" s="29"/>
      <c r="Q7" s="29"/>
      <c r="R7" s="29"/>
      <c r="S7" s="29"/>
      <c r="T7" s="29"/>
    </row>
    <row r="8" spans="1:20" ht="15.05" customHeight="1">
      <c r="A8" s="1">
        <v>5</v>
      </c>
      <c r="B8" s="10">
        <v>1</v>
      </c>
      <c r="C8" s="10" t="s">
        <v>321</v>
      </c>
      <c r="D8" s="10" t="s">
        <v>11</v>
      </c>
      <c r="E8" s="12" t="s">
        <v>322</v>
      </c>
      <c r="F8" s="12" t="s">
        <v>17</v>
      </c>
      <c r="G8" s="11" t="s">
        <v>323</v>
      </c>
      <c r="H8" s="11" t="s">
        <v>88</v>
      </c>
      <c r="I8" s="12" t="s">
        <v>323</v>
      </c>
      <c r="J8" s="12" t="s">
        <v>88</v>
      </c>
      <c r="K8" s="3"/>
      <c r="L8" s="3"/>
      <c r="M8" s="3"/>
      <c r="N8" s="3"/>
      <c r="O8" s="29"/>
      <c r="P8" s="29"/>
      <c r="Q8" s="29"/>
      <c r="R8" s="29"/>
      <c r="S8" s="29"/>
      <c r="T8" s="29"/>
    </row>
    <row r="9" spans="1:20" ht="15.05" customHeight="1">
      <c r="A9" s="1">
        <v>6</v>
      </c>
      <c r="B9" s="10">
        <v>1</v>
      </c>
      <c r="C9" s="10" t="s">
        <v>321</v>
      </c>
      <c r="D9" s="10" t="s">
        <v>11</v>
      </c>
      <c r="E9" s="12" t="s">
        <v>324</v>
      </c>
      <c r="F9" s="12" t="s">
        <v>65</v>
      </c>
      <c r="G9" s="11" t="s">
        <v>325</v>
      </c>
      <c r="H9" s="11" t="s">
        <v>326</v>
      </c>
      <c r="I9" s="12" t="s">
        <v>325</v>
      </c>
      <c r="J9" s="12" t="s">
        <v>326</v>
      </c>
      <c r="K9" s="3"/>
      <c r="L9" s="3"/>
      <c r="M9" s="3"/>
      <c r="N9" s="3"/>
      <c r="O9" s="29"/>
      <c r="P9" s="29"/>
      <c r="Q9" s="29"/>
      <c r="R9" s="29"/>
      <c r="S9" s="29"/>
      <c r="T9" s="29"/>
    </row>
    <row r="10" spans="1:20" ht="15.05" customHeight="1">
      <c r="A10" s="1">
        <v>7</v>
      </c>
      <c r="B10" s="10">
        <v>1</v>
      </c>
      <c r="C10" s="10" t="s">
        <v>321</v>
      </c>
      <c r="D10" s="10" t="s">
        <v>11</v>
      </c>
      <c r="E10" s="11" t="s">
        <v>327</v>
      </c>
      <c r="F10" s="11" t="s">
        <v>23</v>
      </c>
      <c r="G10" s="12" t="s">
        <v>328</v>
      </c>
      <c r="H10" s="12" t="s">
        <v>70</v>
      </c>
      <c r="I10" s="12" t="s">
        <v>327</v>
      </c>
      <c r="J10" s="12" t="s">
        <v>23</v>
      </c>
      <c r="K10" s="3"/>
      <c r="L10" s="3"/>
      <c r="M10" s="3"/>
      <c r="N10" s="3"/>
      <c r="O10" s="29"/>
      <c r="P10" s="29"/>
      <c r="Q10" s="29"/>
      <c r="R10" s="29"/>
      <c r="S10" s="29"/>
      <c r="T10" s="29"/>
    </row>
    <row r="11" spans="1:20" ht="15.05" customHeight="1">
      <c r="A11" s="1">
        <v>8</v>
      </c>
      <c r="B11" s="10">
        <v>1</v>
      </c>
      <c r="C11" s="10" t="s">
        <v>321</v>
      </c>
      <c r="D11" s="10" t="s">
        <v>11</v>
      </c>
      <c r="E11" s="11" t="s">
        <v>329</v>
      </c>
      <c r="F11" s="11" t="s">
        <v>27</v>
      </c>
      <c r="G11" s="12" t="s">
        <v>330</v>
      </c>
      <c r="H11" s="12" t="s">
        <v>44</v>
      </c>
      <c r="I11" s="12" t="s">
        <v>329</v>
      </c>
      <c r="J11" s="12" t="s">
        <v>27</v>
      </c>
      <c r="K11" s="3"/>
      <c r="L11" s="3"/>
      <c r="M11" s="3"/>
      <c r="N11" s="3"/>
      <c r="O11" s="29"/>
      <c r="P11" s="29"/>
      <c r="Q11" s="29"/>
      <c r="R11" s="29"/>
      <c r="S11" s="29"/>
      <c r="T11" s="29"/>
    </row>
    <row r="12" spans="1:20" ht="15.05" customHeight="1">
      <c r="A12" s="1">
        <v>9</v>
      </c>
      <c r="B12" s="10">
        <v>1</v>
      </c>
      <c r="C12" s="10" t="s">
        <v>331</v>
      </c>
      <c r="D12" s="10" t="s">
        <v>11</v>
      </c>
      <c r="E12" s="12" t="s">
        <v>332</v>
      </c>
      <c r="F12" s="12" t="s">
        <v>76</v>
      </c>
      <c r="G12" s="11" t="s">
        <v>333</v>
      </c>
      <c r="H12" s="11" t="s">
        <v>51</v>
      </c>
      <c r="I12" s="12" t="s">
        <v>333</v>
      </c>
      <c r="J12" s="12" t="s">
        <v>51</v>
      </c>
      <c r="K12" s="3"/>
      <c r="L12" s="3"/>
      <c r="M12" s="3"/>
      <c r="N12" s="3"/>
      <c r="O12" s="29"/>
      <c r="P12" s="29"/>
      <c r="Q12" s="29"/>
      <c r="R12" s="29"/>
      <c r="S12" s="29"/>
      <c r="T12" s="29"/>
    </row>
    <row r="13" spans="1:20" ht="15.05" customHeight="1">
      <c r="A13" s="1">
        <v>10</v>
      </c>
      <c r="B13" s="10">
        <v>1</v>
      </c>
      <c r="C13" s="10" t="s">
        <v>331</v>
      </c>
      <c r="D13" s="10" t="s">
        <v>11</v>
      </c>
      <c r="E13" s="12" t="s">
        <v>334</v>
      </c>
      <c r="F13" s="12" t="s">
        <v>30</v>
      </c>
      <c r="G13" s="11" t="s">
        <v>74</v>
      </c>
      <c r="H13" s="11" t="s">
        <v>65</v>
      </c>
      <c r="I13" s="15" t="s">
        <v>74</v>
      </c>
      <c r="J13" s="15" t="s">
        <v>65</v>
      </c>
      <c r="K13" s="3"/>
      <c r="L13" s="3"/>
      <c r="M13" s="3"/>
      <c r="N13" s="3"/>
      <c r="O13" s="29"/>
      <c r="P13" s="29"/>
      <c r="Q13" s="29"/>
      <c r="R13" s="29"/>
      <c r="S13" s="29"/>
      <c r="T13" s="29"/>
    </row>
    <row r="14" spans="1:20" ht="15.05" customHeight="1">
      <c r="A14" s="1">
        <v>11</v>
      </c>
      <c r="B14" s="10">
        <v>1</v>
      </c>
      <c r="C14" s="10" t="s">
        <v>331</v>
      </c>
      <c r="D14" s="10" t="s">
        <v>11</v>
      </c>
      <c r="E14" s="12" t="s">
        <v>335</v>
      </c>
      <c r="F14" s="12" t="s">
        <v>326</v>
      </c>
      <c r="G14" s="11" t="s">
        <v>336</v>
      </c>
      <c r="H14" s="11" t="s">
        <v>23</v>
      </c>
      <c r="I14" s="12" t="s">
        <v>336</v>
      </c>
      <c r="J14" s="12" t="s">
        <v>23</v>
      </c>
      <c r="K14" s="3"/>
      <c r="L14" s="3"/>
      <c r="M14" s="3"/>
      <c r="N14" s="3"/>
      <c r="O14" s="29"/>
      <c r="P14" s="29"/>
      <c r="Q14" s="29"/>
      <c r="R14" s="29"/>
      <c r="S14" s="29"/>
      <c r="T14" s="29"/>
    </row>
    <row r="15" spans="1:20" ht="15.05" customHeight="1">
      <c r="A15" s="1">
        <v>12</v>
      </c>
      <c r="B15" s="10">
        <v>1</v>
      </c>
      <c r="C15" s="10" t="s">
        <v>337</v>
      </c>
      <c r="D15" s="10" t="s">
        <v>11</v>
      </c>
      <c r="E15" s="11" t="s">
        <v>338</v>
      </c>
      <c r="F15" s="11" t="s">
        <v>40</v>
      </c>
      <c r="G15" s="12" t="s">
        <v>339</v>
      </c>
      <c r="H15" s="12" t="s">
        <v>34</v>
      </c>
      <c r="I15" s="12" t="s">
        <v>338</v>
      </c>
      <c r="J15" s="12" t="s">
        <v>40</v>
      </c>
      <c r="K15" s="3"/>
      <c r="L15" s="3"/>
      <c r="M15" s="3"/>
      <c r="N15" s="3"/>
      <c r="O15" s="29"/>
      <c r="P15" s="29"/>
      <c r="Q15" s="29"/>
      <c r="R15" s="29"/>
      <c r="S15" s="29"/>
      <c r="T15" s="29"/>
    </row>
    <row r="16" spans="1:20" ht="15.05" customHeight="1">
      <c r="A16" s="1">
        <v>13</v>
      </c>
      <c r="B16" s="10">
        <v>1</v>
      </c>
      <c r="C16" s="10" t="s">
        <v>340</v>
      </c>
      <c r="D16" s="10" t="s">
        <v>11</v>
      </c>
      <c r="E16" s="11" t="s">
        <v>31</v>
      </c>
      <c r="F16" s="11" t="s">
        <v>65</v>
      </c>
      <c r="G16" s="12" t="s">
        <v>341</v>
      </c>
      <c r="H16" s="12" t="s">
        <v>40</v>
      </c>
      <c r="I16" s="12" t="s">
        <v>31</v>
      </c>
      <c r="J16" s="12" t="s">
        <v>65</v>
      </c>
      <c r="K16" s="3"/>
      <c r="L16" s="3"/>
      <c r="M16" s="3"/>
      <c r="N16" s="3"/>
      <c r="O16" s="29"/>
      <c r="P16" s="29"/>
      <c r="Q16" s="29"/>
      <c r="R16" s="29"/>
      <c r="S16" s="29"/>
      <c r="T16" s="29"/>
    </row>
    <row r="17" spans="1:20" ht="15.05" customHeight="1">
      <c r="A17" s="1">
        <v>14</v>
      </c>
      <c r="B17" s="10">
        <v>1</v>
      </c>
      <c r="C17" s="10" t="s">
        <v>340</v>
      </c>
      <c r="D17" s="10" t="s">
        <v>11</v>
      </c>
      <c r="E17" s="11" t="s">
        <v>342</v>
      </c>
      <c r="F17" s="11" t="s">
        <v>34</v>
      </c>
      <c r="G17" s="12" t="s">
        <v>343</v>
      </c>
      <c r="H17" s="12" t="s">
        <v>76</v>
      </c>
      <c r="I17" s="12" t="s">
        <v>342</v>
      </c>
      <c r="J17" s="12" t="s">
        <v>34</v>
      </c>
      <c r="K17" s="3"/>
      <c r="L17" s="3"/>
      <c r="M17" s="3"/>
      <c r="N17" s="3"/>
      <c r="O17" s="29"/>
      <c r="P17" s="29"/>
      <c r="Q17" s="29"/>
      <c r="R17" s="29"/>
      <c r="S17" s="29"/>
      <c r="T17" s="29"/>
    </row>
    <row r="18" spans="1:20" ht="15.05" customHeight="1">
      <c r="A18" s="1">
        <v>15</v>
      </c>
      <c r="B18" s="10">
        <v>1</v>
      </c>
      <c r="C18" s="10" t="s">
        <v>340</v>
      </c>
      <c r="D18" s="10" t="s">
        <v>11</v>
      </c>
      <c r="E18" s="11" t="s">
        <v>344</v>
      </c>
      <c r="F18" s="11" t="s">
        <v>59</v>
      </c>
      <c r="G18" s="12" t="s">
        <v>345</v>
      </c>
      <c r="H18" s="12" t="s">
        <v>44</v>
      </c>
      <c r="I18" s="12" t="s">
        <v>344</v>
      </c>
      <c r="J18" s="12" t="s">
        <v>59</v>
      </c>
      <c r="K18" s="3"/>
      <c r="L18" s="3"/>
      <c r="M18" s="3"/>
      <c r="N18" s="3"/>
      <c r="O18" s="29"/>
      <c r="P18" s="29"/>
      <c r="Q18" s="29"/>
      <c r="R18" s="29"/>
      <c r="S18" s="29"/>
      <c r="T18" s="29"/>
    </row>
    <row r="19" spans="1:20" ht="15.05" customHeight="1">
      <c r="A19" s="1">
        <v>16</v>
      </c>
      <c r="B19" s="10">
        <v>1</v>
      </c>
      <c r="C19" s="10" t="s">
        <v>346</v>
      </c>
      <c r="D19" s="10" t="s">
        <v>11</v>
      </c>
      <c r="E19" s="11" t="s">
        <v>347</v>
      </c>
      <c r="F19" s="11" t="s">
        <v>62</v>
      </c>
      <c r="G19" s="12" t="s">
        <v>348</v>
      </c>
      <c r="H19" s="12" t="s">
        <v>23</v>
      </c>
      <c r="I19" s="12" t="s">
        <v>347</v>
      </c>
      <c r="J19" s="12" t="s">
        <v>62</v>
      </c>
      <c r="K19" s="3"/>
      <c r="L19" s="3"/>
      <c r="M19" s="3"/>
      <c r="N19" s="3"/>
      <c r="O19" s="29"/>
      <c r="P19" s="29"/>
      <c r="Q19" s="29"/>
      <c r="R19" s="29"/>
      <c r="S19" s="29"/>
      <c r="T19" s="29"/>
    </row>
    <row r="20" spans="1:20" ht="15.05" customHeight="1">
      <c r="A20" s="1">
        <v>17</v>
      </c>
      <c r="B20" s="10">
        <v>1</v>
      </c>
      <c r="C20" s="10" t="s">
        <v>349</v>
      </c>
      <c r="D20" s="10" t="s">
        <v>11</v>
      </c>
      <c r="E20" s="12" t="s">
        <v>350</v>
      </c>
      <c r="F20" s="12" t="s">
        <v>34</v>
      </c>
      <c r="G20" s="11" t="s">
        <v>351</v>
      </c>
      <c r="H20" s="11" t="s">
        <v>51</v>
      </c>
      <c r="I20" s="12" t="s">
        <v>351</v>
      </c>
      <c r="J20" s="12" t="s">
        <v>51</v>
      </c>
      <c r="K20" s="3"/>
      <c r="L20" s="3"/>
      <c r="M20" s="3"/>
      <c r="N20" s="3"/>
      <c r="O20" s="29"/>
      <c r="P20" s="29"/>
      <c r="Q20" s="29"/>
      <c r="R20" s="29"/>
      <c r="S20" s="29"/>
      <c r="T20" s="29"/>
    </row>
    <row r="21" spans="1:20" ht="15.05" customHeight="1">
      <c r="A21" s="1">
        <v>18</v>
      </c>
      <c r="B21" s="10">
        <v>1</v>
      </c>
      <c r="C21" s="10" t="s">
        <v>349</v>
      </c>
      <c r="D21" s="10" t="s">
        <v>11</v>
      </c>
      <c r="E21" s="12" t="s">
        <v>352</v>
      </c>
      <c r="F21" s="12" t="s">
        <v>27</v>
      </c>
      <c r="G21" s="11" t="s">
        <v>35</v>
      </c>
      <c r="H21" s="11" t="s">
        <v>44</v>
      </c>
      <c r="I21" s="12" t="s">
        <v>35</v>
      </c>
      <c r="J21" s="12" t="s">
        <v>44</v>
      </c>
      <c r="K21" s="3"/>
      <c r="L21" s="3"/>
      <c r="M21" s="3"/>
      <c r="N21" s="3"/>
      <c r="O21" s="29"/>
      <c r="P21" s="29"/>
      <c r="Q21" s="29"/>
      <c r="R21" s="29"/>
      <c r="S21" s="29"/>
      <c r="T21" s="29"/>
    </row>
    <row r="22" spans="1:20" ht="15.05" customHeight="1">
      <c r="A22" s="1">
        <v>19</v>
      </c>
      <c r="B22" s="10">
        <v>1</v>
      </c>
      <c r="C22" s="10" t="s">
        <v>349</v>
      </c>
      <c r="D22" s="10" t="s">
        <v>11</v>
      </c>
      <c r="E22" s="11" t="s">
        <v>353</v>
      </c>
      <c r="F22" s="11" t="s">
        <v>17</v>
      </c>
      <c r="G22" s="12" t="s">
        <v>354</v>
      </c>
      <c r="H22" s="12" t="s">
        <v>40</v>
      </c>
      <c r="I22" s="12" t="s">
        <v>353</v>
      </c>
      <c r="J22" s="12" t="s">
        <v>17</v>
      </c>
      <c r="K22" s="3"/>
      <c r="L22" s="3"/>
      <c r="M22" s="3"/>
      <c r="N22" s="3"/>
      <c r="O22" s="29"/>
      <c r="P22" s="29"/>
      <c r="Q22" s="29"/>
      <c r="R22" s="29"/>
      <c r="S22" s="29"/>
      <c r="T22" s="29"/>
    </row>
    <row r="23" spans="1:20" ht="15.05" customHeight="1">
      <c r="A23" s="1">
        <v>20</v>
      </c>
      <c r="B23" s="10">
        <v>1</v>
      </c>
      <c r="C23" s="10" t="s">
        <v>311</v>
      </c>
      <c r="D23" s="10" t="s">
        <v>11</v>
      </c>
      <c r="E23" s="12" t="s">
        <v>39</v>
      </c>
      <c r="F23" s="12" t="s">
        <v>65</v>
      </c>
      <c r="G23" s="11" t="s">
        <v>355</v>
      </c>
      <c r="H23" s="11" t="s">
        <v>44</v>
      </c>
      <c r="I23" s="12" t="s">
        <v>355</v>
      </c>
      <c r="J23" s="12" t="s">
        <v>44</v>
      </c>
      <c r="K23" s="3"/>
      <c r="L23" s="3"/>
      <c r="M23" s="3"/>
      <c r="N23" s="3"/>
      <c r="O23" s="29"/>
      <c r="P23" s="29"/>
      <c r="Q23" s="29"/>
      <c r="R23" s="29"/>
      <c r="S23" s="29"/>
      <c r="T23" s="29"/>
    </row>
    <row r="24" spans="1:20" ht="15.05" customHeight="1">
      <c r="A24" s="1">
        <v>21</v>
      </c>
      <c r="B24" s="10">
        <v>1</v>
      </c>
      <c r="C24" s="10" t="s">
        <v>311</v>
      </c>
      <c r="D24" s="10" t="s">
        <v>11</v>
      </c>
      <c r="E24" s="11" t="s">
        <v>356</v>
      </c>
      <c r="F24" s="11" t="s">
        <v>51</v>
      </c>
      <c r="G24" s="12" t="s">
        <v>357</v>
      </c>
      <c r="H24" s="12" t="s">
        <v>40</v>
      </c>
      <c r="I24" s="12" t="s">
        <v>358</v>
      </c>
      <c r="J24" s="12" t="s">
        <v>51</v>
      </c>
      <c r="K24" s="3"/>
      <c r="L24" s="3"/>
      <c r="M24" s="3"/>
      <c r="N24" s="3"/>
      <c r="O24" s="29"/>
      <c r="P24" s="29"/>
      <c r="Q24" s="29"/>
      <c r="R24" s="29"/>
      <c r="S24" s="29"/>
      <c r="T24" s="29"/>
    </row>
    <row r="25" spans="1:20" ht="15.05" customHeight="1">
      <c r="A25" s="1">
        <v>22</v>
      </c>
      <c r="B25" s="10">
        <v>1</v>
      </c>
      <c r="C25" s="10" t="s">
        <v>311</v>
      </c>
      <c r="D25" s="10" t="s">
        <v>11</v>
      </c>
      <c r="E25" s="11" t="s">
        <v>359</v>
      </c>
      <c r="F25" s="11" t="s">
        <v>326</v>
      </c>
      <c r="G25" s="12" t="s">
        <v>360</v>
      </c>
      <c r="H25" s="12" t="s">
        <v>30</v>
      </c>
      <c r="I25" s="12" t="s">
        <v>359</v>
      </c>
      <c r="J25" s="12" t="s">
        <v>326</v>
      </c>
      <c r="K25" s="3"/>
      <c r="L25" s="3"/>
      <c r="M25" s="3"/>
      <c r="N25" s="3"/>
      <c r="O25" s="29"/>
      <c r="P25" s="29"/>
      <c r="Q25" s="29"/>
      <c r="R25" s="29"/>
      <c r="S25" s="29"/>
      <c r="T25" s="29"/>
    </row>
    <row r="26" spans="1:20" ht="15.05" customHeight="1">
      <c r="A26" s="1">
        <v>23</v>
      </c>
      <c r="B26" s="10">
        <v>1</v>
      </c>
      <c r="C26" s="10" t="s">
        <v>311</v>
      </c>
      <c r="D26" s="10" t="s">
        <v>11</v>
      </c>
      <c r="E26" s="12" t="s">
        <v>361</v>
      </c>
      <c r="F26" s="12" t="s">
        <v>70</v>
      </c>
      <c r="G26" s="11" t="s">
        <v>314</v>
      </c>
      <c r="H26" s="11" t="s">
        <v>62</v>
      </c>
      <c r="I26" s="12" t="s">
        <v>314</v>
      </c>
      <c r="J26" s="12" t="s">
        <v>62</v>
      </c>
      <c r="K26" s="3"/>
      <c r="L26" s="3"/>
      <c r="M26" s="3"/>
      <c r="N26" s="3"/>
      <c r="O26" s="29"/>
      <c r="P26" s="29"/>
      <c r="Q26" s="29"/>
      <c r="R26" s="29"/>
      <c r="S26" s="29"/>
      <c r="T26" s="29"/>
    </row>
    <row r="27" spans="1:20" ht="15.05" customHeight="1">
      <c r="A27" s="1">
        <v>24</v>
      </c>
      <c r="B27" s="10">
        <v>1</v>
      </c>
      <c r="C27" s="10" t="s">
        <v>315</v>
      </c>
      <c r="D27" s="10" t="s">
        <v>11</v>
      </c>
      <c r="E27" s="11" t="s">
        <v>318</v>
      </c>
      <c r="F27" s="11" t="s">
        <v>44</v>
      </c>
      <c r="G27" s="12" t="s">
        <v>362</v>
      </c>
      <c r="H27" s="12" t="s">
        <v>40</v>
      </c>
      <c r="I27" s="12" t="s">
        <v>318</v>
      </c>
      <c r="J27" s="12" t="s">
        <v>44</v>
      </c>
      <c r="K27" s="3"/>
      <c r="L27" s="3"/>
      <c r="M27" s="3"/>
      <c r="N27" s="3"/>
      <c r="O27" s="29"/>
      <c r="P27" s="29"/>
      <c r="Q27" s="29"/>
      <c r="R27" s="29"/>
      <c r="S27" s="29"/>
      <c r="T27" s="29"/>
    </row>
    <row r="28" spans="1:20" ht="15.05" customHeight="1">
      <c r="A28" s="1">
        <v>25</v>
      </c>
      <c r="B28" s="10">
        <v>1</v>
      </c>
      <c r="C28" s="10" t="s">
        <v>315</v>
      </c>
      <c r="D28" s="10" t="s">
        <v>11</v>
      </c>
      <c r="E28" s="12" t="s">
        <v>363</v>
      </c>
      <c r="F28" s="12" t="s">
        <v>70</v>
      </c>
      <c r="G28" s="11" t="s">
        <v>364</v>
      </c>
      <c r="H28" s="11" t="s">
        <v>326</v>
      </c>
      <c r="I28" s="12" t="s">
        <v>364</v>
      </c>
      <c r="J28" s="12" t="s">
        <v>326</v>
      </c>
      <c r="K28" s="3"/>
      <c r="L28" s="3"/>
      <c r="M28" s="3"/>
      <c r="N28" s="3"/>
      <c r="O28" s="29"/>
      <c r="P28" s="29"/>
      <c r="Q28" s="29"/>
      <c r="R28" s="29"/>
      <c r="S28" s="29"/>
      <c r="T28" s="29"/>
    </row>
    <row r="29" spans="1:20" ht="15.05" customHeight="1">
      <c r="A29" s="1">
        <v>26</v>
      </c>
      <c r="B29" s="10">
        <v>1</v>
      </c>
      <c r="C29" s="10" t="s">
        <v>315</v>
      </c>
      <c r="D29" s="10" t="s">
        <v>11</v>
      </c>
      <c r="E29" s="12" t="s">
        <v>365</v>
      </c>
      <c r="F29" s="12" t="s">
        <v>168</v>
      </c>
      <c r="G29" s="11" t="s">
        <v>366</v>
      </c>
      <c r="H29" s="11" t="s">
        <v>23</v>
      </c>
      <c r="I29" s="12" t="s">
        <v>366</v>
      </c>
      <c r="J29" s="12" t="s">
        <v>23</v>
      </c>
      <c r="K29" s="3"/>
      <c r="L29" s="3"/>
      <c r="M29" s="3"/>
      <c r="N29" s="3"/>
      <c r="O29" s="29"/>
      <c r="P29" s="29"/>
      <c r="Q29" s="29"/>
      <c r="R29" s="29"/>
      <c r="S29" s="29"/>
      <c r="T29" s="29"/>
    </row>
    <row r="30" spans="1:20" ht="15.05" customHeight="1">
      <c r="A30" s="1">
        <v>27</v>
      </c>
      <c r="B30" s="10">
        <v>1</v>
      </c>
      <c r="C30" s="10" t="s">
        <v>315</v>
      </c>
      <c r="D30" s="10" t="s">
        <v>11</v>
      </c>
      <c r="E30" s="12" t="s">
        <v>367</v>
      </c>
      <c r="F30" s="12" t="s">
        <v>51</v>
      </c>
      <c r="G30" s="11" t="s">
        <v>320</v>
      </c>
      <c r="H30" s="11" t="s">
        <v>88</v>
      </c>
      <c r="I30" s="12" t="s">
        <v>320</v>
      </c>
      <c r="J30" s="12" t="s">
        <v>88</v>
      </c>
      <c r="K30" s="3"/>
      <c r="L30" s="3"/>
      <c r="M30" s="3"/>
      <c r="N30" s="3"/>
      <c r="O30" s="29"/>
      <c r="P30" s="29"/>
      <c r="Q30" s="29"/>
      <c r="R30" s="29"/>
      <c r="S30" s="29"/>
      <c r="T30" s="29"/>
    </row>
    <row r="31" spans="1:20" ht="15.05" customHeight="1">
      <c r="A31" s="1">
        <v>28</v>
      </c>
      <c r="B31" s="10">
        <v>1</v>
      </c>
      <c r="C31" s="10" t="s">
        <v>321</v>
      </c>
      <c r="D31" s="10" t="s">
        <v>11</v>
      </c>
      <c r="E31" s="11" t="s">
        <v>323</v>
      </c>
      <c r="F31" s="11" t="s">
        <v>88</v>
      </c>
      <c r="G31" s="12" t="s">
        <v>325</v>
      </c>
      <c r="H31" s="12" t="s">
        <v>326</v>
      </c>
      <c r="I31" s="12" t="s">
        <v>323</v>
      </c>
      <c r="J31" s="12" t="s">
        <v>88</v>
      </c>
      <c r="K31" s="3"/>
      <c r="L31" s="3"/>
      <c r="M31" s="3"/>
      <c r="N31" s="3"/>
      <c r="O31" s="29"/>
      <c r="P31" s="29"/>
      <c r="Q31" s="29"/>
      <c r="R31" s="29"/>
      <c r="S31" s="29"/>
      <c r="T31" s="29"/>
    </row>
    <row r="32" spans="1:20" ht="15.05" customHeight="1">
      <c r="A32" s="1">
        <v>29</v>
      </c>
      <c r="B32" s="10">
        <v>1</v>
      </c>
      <c r="C32" s="10" t="s">
        <v>321</v>
      </c>
      <c r="D32" s="10" t="s">
        <v>11</v>
      </c>
      <c r="E32" s="12" t="s">
        <v>368</v>
      </c>
      <c r="F32" s="12" t="s">
        <v>51</v>
      </c>
      <c r="G32" s="11" t="s">
        <v>225</v>
      </c>
      <c r="H32" s="11" t="s">
        <v>40</v>
      </c>
      <c r="I32" s="12" t="s">
        <v>225</v>
      </c>
      <c r="J32" s="12" t="s">
        <v>40</v>
      </c>
      <c r="K32" s="3"/>
      <c r="L32" s="3"/>
      <c r="M32" s="3"/>
      <c r="N32" s="3"/>
      <c r="O32" s="29"/>
      <c r="P32" s="29"/>
      <c r="Q32" s="29"/>
      <c r="R32" s="29"/>
      <c r="S32" s="29"/>
      <c r="T32" s="29"/>
    </row>
    <row r="33" spans="1:20" ht="15.05" customHeight="1">
      <c r="A33" s="1">
        <v>30</v>
      </c>
      <c r="B33" s="10">
        <v>1</v>
      </c>
      <c r="C33" s="10" t="s">
        <v>321</v>
      </c>
      <c r="D33" s="10" t="s">
        <v>11</v>
      </c>
      <c r="E33" s="12" t="s">
        <v>369</v>
      </c>
      <c r="F33" s="12" t="s">
        <v>42</v>
      </c>
      <c r="G33" s="11" t="s">
        <v>370</v>
      </c>
      <c r="H33" s="11" t="s">
        <v>62</v>
      </c>
      <c r="I33" s="12" t="s">
        <v>370</v>
      </c>
      <c r="J33" s="12" t="s">
        <v>62</v>
      </c>
      <c r="K33" s="3"/>
      <c r="L33" s="3"/>
      <c r="M33" s="3"/>
      <c r="N33" s="3"/>
      <c r="O33" s="29"/>
      <c r="P33" s="29"/>
      <c r="Q33" s="29"/>
      <c r="R33" s="29"/>
      <c r="S33" s="29"/>
      <c r="T33" s="29"/>
    </row>
    <row r="34" spans="1:20" ht="15.05" customHeight="1">
      <c r="A34" s="1">
        <v>31</v>
      </c>
      <c r="B34" s="10">
        <v>1</v>
      </c>
      <c r="C34" s="10" t="s">
        <v>321</v>
      </c>
      <c r="D34" s="10" t="s">
        <v>11</v>
      </c>
      <c r="E34" s="15" t="s">
        <v>327</v>
      </c>
      <c r="F34" s="15" t="s">
        <v>23</v>
      </c>
      <c r="G34" s="11" t="s">
        <v>329</v>
      </c>
      <c r="H34" s="11" t="s">
        <v>27</v>
      </c>
      <c r="I34" s="12" t="s">
        <v>329</v>
      </c>
      <c r="J34" s="12" t="s">
        <v>27</v>
      </c>
      <c r="K34" s="3"/>
      <c r="L34" s="3"/>
      <c r="M34" s="3"/>
      <c r="N34" s="3"/>
      <c r="O34" s="29"/>
      <c r="P34" s="29"/>
      <c r="Q34" s="29"/>
      <c r="R34" s="29"/>
      <c r="S34" s="29"/>
      <c r="T34" s="29"/>
    </row>
    <row r="35" spans="1:20" ht="15.05" customHeight="1">
      <c r="A35" s="1">
        <v>32</v>
      </c>
      <c r="B35" s="10">
        <v>1</v>
      </c>
      <c r="C35" s="10" t="s">
        <v>331</v>
      </c>
      <c r="D35" s="10" t="s">
        <v>11</v>
      </c>
      <c r="E35" s="12" t="s">
        <v>333</v>
      </c>
      <c r="F35" s="12" t="s">
        <v>51</v>
      </c>
      <c r="G35" s="11" t="s">
        <v>74</v>
      </c>
      <c r="H35" s="11" t="s">
        <v>65</v>
      </c>
      <c r="I35" s="15" t="s">
        <v>74</v>
      </c>
      <c r="J35" s="15" t="s">
        <v>65</v>
      </c>
      <c r="K35" s="3"/>
      <c r="L35" s="3"/>
      <c r="M35" s="3"/>
      <c r="N35" s="3"/>
      <c r="O35" s="29"/>
      <c r="P35" s="29"/>
      <c r="Q35" s="29"/>
      <c r="R35" s="29"/>
      <c r="S35" s="29"/>
      <c r="T35" s="29"/>
    </row>
    <row r="36" spans="1:20" ht="15.05" customHeight="1">
      <c r="A36" s="1">
        <v>33</v>
      </c>
      <c r="B36" s="10">
        <v>1</v>
      </c>
      <c r="C36" s="10" t="s">
        <v>331</v>
      </c>
      <c r="D36" s="10" t="s">
        <v>11</v>
      </c>
      <c r="E36" s="12" t="s">
        <v>371</v>
      </c>
      <c r="F36" s="12" t="s">
        <v>70</v>
      </c>
      <c r="G36" s="11" t="s">
        <v>372</v>
      </c>
      <c r="H36" s="11" t="s">
        <v>44</v>
      </c>
      <c r="I36" s="12" t="s">
        <v>372</v>
      </c>
      <c r="J36" s="12" t="s">
        <v>44</v>
      </c>
      <c r="K36" s="3"/>
      <c r="L36" s="3"/>
      <c r="M36" s="3"/>
      <c r="N36" s="3"/>
      <c r="O36" s="29"/>
      <c r="P36" s="29"/>
      <c r="Q36" s="29"/>
      <c r="R36" s="29"/>
      <c r="S36" s="29"/>
      <c r="T36" s="29"/>
    </row>
    <row r="37" spans="1:20" ht="15.05" customHeight="1">
      <c r="A37" s="1">
        <v>34</v>
      </c>
      <c r="B37" s="10">
        <v>1</v>
      </c>
      <c r="C37" s="10" t="s">
        <v>331</v>
      </c>
      <c r="D37" s="10" t="s">
        <v>11</v>
      </c>
      <c r="E37" s="12" t="s">
        <v>373</v>
      </c>
      <c r="F37" s="12" t="s">
        <v>40</v>
      </c>
      <c r="G37" s="11" t="s">
        <v>374</v>
      </c>
      <c r="H37" s="11" t="s">
        <v>42</v>
      </c>
      <c r="I37" s="12" t="s">
        <v>374</v>
      </c>
      <c r="J37" s="12" t="s">
        <v>42</v>
      </c>
      <c r="K37" s="3"/>
      <c r="L37" s="3"/>
      <c r="M37" s="3"/>
      <c r="N37" s="3"/>
      <c r="O37" s="29"/>
      <c r="P37" s="29"/>
      <c r="Q37" s="29"/>
      <c r="R37" s="29"/>
      <c r="S37" s="29"/>
      <c r="T37" s="29"/>
    </row>
    <row r="38" spans="1:20" ht="15.05" customHeight="1">
      <c r="A38" s="1">
        <v>35</v>
      </c>
      <c r="B38" s="10">
        <v>1</v>
      </c>
      <c r="C38" s="10" t="s">
        <v>331</v>
      </c>
      <c r="D38" s="10" t="s">
        <v>11</v>
      </c>
      <c r="E38" s="11" t="s">
        <v>375</v>
      </c>
      <c r="F38" s="11" t="s">
        <v>62</v>
      </c>
      <c r="G38" s="12" t="s">
        <v>336</v>
      </c>
      <c r="H38" s="12" t="s">
        <v>23</v>
      </c>
      <c r="I38" s="12" t="s">
        <v>375</v>
      </c>
      <c r="J38" s="12" t="s">
        <v>62</v>
      </c>
      <c r="K38" s="3"/>
      <c r="L38" s="3"/>
      <c r="M38" s="3"/>
      <c r="N38" s="3"/>
      <c r="O38" s="29"/>
      <c r="P38" s="29"/>
      <c r="Q38" s="29"/>
      <c r="R38" s="29"/>
      <c r="S38" s="29"/>
      <c r="T38" s="29"/>
    </row>
    <row r="39" spans="1:20" ht="15.05" customHeight="1">
      <c r="A39" s="1">
        <v>36</v>
      </c>
      <c r="B39" s="10">
        <v>1</v>
      </c>
      <c r="C39" s="10" t="s">
        <v>337</v>
      </c>
      <c r="D39" s="10" t="s">
        <v>11</v>
      </c>
      <c r="E39" s="12" t="s">
        <v>338</v>
      </c>
      <c r="F39" s="12" t="s">
        <v>40</v>
      </c>
      <c r="G39" s="11" t="s">
        <v>376</v>
      </c>
      <c r="H39" s="11" t="s">
        <v>326</v>
      </c>
      <c r="I39" s="12" t="s">
        <v>376</v>
      </c>
      <c r="J39" s="12" t="s">
        <v>326</v>
      </c>
      <c r="K39" s="3"/>
      <c r="L39" s="3"/>
      <c r="M39" s="3"/>
      <c r="N39" s="3"/>
      <c r="O39" s="29"/>
      <c r="P39" s="29"/>
      <c r="Q39" s="29"/>
      <c r="R39" s="29"/>
      <c r="S39" s="29"/>
      <c r="T39" s="29"/>
    </row>
    <row r="40" spans="1:20" ht="15.05" customHeight="1">
      <c r="A40" s="1">
        <v>37</v>
      </c>
      <c r="B40" s="10">
        <v>1</v>
      </c>
      <c r="C40" s="10" t="s">
        <v>337</v>
      </c>
      <c r="D40" s="10" t="s">
        <v>11</v>
      </c>
      <c r="E40" s="12" t="s">
        <v>377</v>
      </c>
      <c r="F40" s="12" t="s">
        <v>70</v>
      </c>
      <c r="G40" s="11" t="s">
        <v>378</v>
      </c>
      <c r="H40" s="11" t="s">
        <v>23</v>
      </c>
      <c r="I40" s="12" t="s">
        <v>378</v>
      </c>
      <c r="J40" s="12" t="s">
        <v>23</v>
      </c>
      <c r="K40" s="3"/>
      <c r="L40" s="3"/>
      <c r="M40" s="3"/>
      <c r="N40" s="3"/>
      <c r="O40" s="29"/>
      <c r="P40" s="29"/>
      <c r="Q40" s="29"/>
      <c r="R40" s="29"/>
      <c r="S40" s="29"/>
      <c r="T40" s="29"/>
    </row>
    <row r="41" spans="1:20" ht="15.05" customHeight="1">
      <c r="A41" s="1">
        <v>38</v>
      </c>
      <c r="B41" s="10">
        <v>1</v>
      </c>
      <c r="C41" s="10" t="s">
        <v>337</v>
      </c>
      <c r="D41" s="10" t="s">
        <v>11</v>
      </c>
      <c r="E41" s="12" t="s">
        <v>379</v>
      </c>
      <c r="F41" s="12" t="s">
        <v>44</v>
      </c>
      <c r="G41" s="11" t="s">
        <v>380</v>
      </c>
      <c r="H41" s="11" t="s">
        <v>42</v>
      </c>
      <c r="I41" s="12" t="s">
        <v>380</v>
      </c>
      <c r="J41" s="12" t="s">
        <v>42</v>
      </c>
      <c r="K41" s="3"/>
      <c r="L41" s="3"/>
      <c r="M41" s="3"/>
      <c r="N41" s="3"/>
      <c r="O41" s="29"/>
      <c r="P41" s="29"/>
      <c r="Q41" s="29"/>
      <c r="R41" s="29"/>
      <c r="S41" s="29"/>
      <c r="T41" s="29"/>
    </row>
    <row r="42" spans="1:20" ht="15.05" customHeight="1">
      <c r="A42" s="1">
        <v>39</v>
      </c>
      <c r="B42" s="10">
        <v>1</v>
      </c>
      <c r="C42" s="10" t="s">
        <v>337</v>
      </c>
      <c r="D42" s="10" t="s">
        <v>11</v>
      </c>
      <c r="E42" s="11" t="s">
        <v>381</v>
      </c>
      <c r="F42" s="11" t="s">
        <v>30</v>
      </c>
      <c r="G42" s="12" t="s">
        <v>382</v>
      </c>
      <c r="H42" s="12" t="s">
        <v>59</v>
      </c>
      <c r="I42" s="12" t="s">
        <v>381</v>
      </c>
      <c r="J42" s="12" t="s">
        <v>30</v>
      </c>
      <c r="K42" s="3"/>
      <c r="L42" s="3"/>
      <c r="M42" s="3"/>
      <c r="N42" s="3"/>
      <c r="O42" s="29"/>
      <c r="P42" s="29"/>
      <c r="Q42" s="29"/>
      <c r="R42" s="29"/>
      <c r="S42" s="29"/>
      <c r="T42" s="29"/>
    </row>
    <row r="43" spans="1:20" ht="15.05" customHeight="1">
      <c r="A43" s="1">
        <v>40</v>
      </c>
      <c r="B43" s="10">
        <v>1</v>
      </c>
      <c r="C43" s="10" t="s">
        <v>340</v>
      </c>
      <c r="D43" s="10" t="s">
        <v>11</v>
      </c>
      <c r="E43" s="11" t="s">
        <v>31</v>
      </c>
      <c r="F43" s="11" t="s">
        <v>65</v>
      </c>
      <c r="G43" s="12" t="s">
        <v>342</v>
      </c>
      <c r="H43" s="12" t="s">
        <v>34</v>
      </c>
      <c r="I43" s="12" t="s">
        <v>31</v>
      </c>
      <c r="J43" s="12" t="s">
        <v>65</v>
      </c>
      <c r="K43" s="3"/>
      <c r="L43" s="3"/>
      <c r="M43" s="3"/>
      <c r="N43" s="3"/>
      <c r="O43" s="29"/>
      <c r="P43" s="29"/>
      <c r="Q43" s="29"/>
      <c r="R43" s="29"/>
      <c r="S43" s="29"/>
      <c r="T43" s="29"/>
    </row>
    <row r="44" spans="1:20" ht="15.05" customHeight="1">
      <c r="A44" s="1">
        <v>41</v>
      </c>
      <c r="B44" s="10">
        <v>1</v>
      </c>
      <c r="C44" s="10" t="s">
        <v>340</v>
      </c>
      <c r="D44" s="10" t="s">
        <v>11</v>
      </c>
      <c r="E44" s="12" t="s">
        <v>383</v>
      </c>
      <c r="F44" s="12" t="s">
        <v>48</v>
      </c>
      <c r="G44" s="11" t="s">
        <v>384</v>
      </c>
      <c r="H44" s="11" t="s">
        <v>30</v>
      </c>
      <c r="I44" s="12" t="s">
        <v>384</v>
      </c>
      <c r="J44" s="12" t="s">
        <v>30</v>
      </c>
      <c r="K44" s="3"/>
      <c r="L44" s="3"/>
      <c r="M44" s="3"/>
      <c r="N44" s="3"/>
      <c r="O44" s="29"/>
      <c r="P44" s="29"/>
      <c r="Q44" s="29"/>
      <c r="R44" s="29"/>
      <c r="S44" s="29"/>
      <c r="T44" s="29"/>
    </row>
    <row r="45" spans="1:20" ht="15.05" customHeight="1">
      <c r="A45" s="1">
        <v>42</v>
      </c>
      <c r="B45" s="10">
        <v>1</v>
      </c>
      <c r="C45" s="10" t="s">
        <v>340</v>
      </c>
      <c r="D45" s="10" t="s">
        <v>11</v>
      </c>
      <c r="E45" s="12" t="s">
        <v>385</v>
      </c>
      <c r="F45" s="12" t="s">
        <v>27</v>
      </c>
      <c r="G45" s="11" t="s">
        <v>386</v>
      </c>
      <c r="H45" s="11" t="s">
        <v>326</v>
      </c>
      <c r="I45" s="30" t="s">
        <v>387</v>
      </c>
      <c r="J45" s="31" t="s">
        <v>326</v>
      </c>
      <c r="K45" s="3"/>
      <c r="L45" s="3"/>
      <c r="M45" s="3"/>
      <c r="N45" s="3"/>
      <c r="O45" s="29"/>
      <c r="P45" s="29"/>
      <c r="Q45" s="29"/>
      <c r="R45" s="29"/>
      <c r="S45" s="29"/>
      <c r="T45" s="29"/>
    </row>
    <row r="46" spans="1:20" ht="15.05" customHeight="1">
      <c r="A46" s="1">
        <v>43</v>
      </c>
      <c r="B46" s="10">
        <v>1</v>
      </c>
      <c r="C46" s="10" t="s">
        <v>340</v>
      </c>
      <c r="D46" s="10" t="s">
        <v>11</v>
      </c>
      <c r="E46" s="12" t="s">
        <v>388</v>
      </c>
      <c r="F46" s="12" t="s">
        <v>70</v>
      </c>
      <c r="G46" s="11" t="s">
        <v>344</v>
      </c>
      <c r="H46" s="11" t="s">
        <v>59</v>
      </c>
      <c r="I46" s="12" t="s">
        <v>344</v>
      </c>
      <c r="J46" s="12" t="s">
        <v>59</v>
      </c>
      <c r="K46" s="3"/>
      <c r="L46" s="3"/>
      <c r="M46" s="3"/>
      <c r="N46" s="3"/>
      <c r="O46" s="29"/>
      <c r="P46" s="29"/>
      <c r="Q46" s="29"/>
      <c r="R46" s="29"/>
      <c r="S46" s="29"/>
      <c r="T46" s="29"/>
    </row>
    <row r="47" spans="1:20" ht="15.05" customHeight="1">
      <c r="A47" s="1">
        <v>44</v>
      </c>
      <c r="B47" s="10">
        <v>1</v>
      </c>
      <c r="C47" s="10" t="s">
        <v>346</v>
      </c>
      <c r="D47" s="10" t="s">
        <v>78</v>
      </c>
      <c r="E47" s="12" t="s">
        <v>347</v>
      </c>
      <c r="F47" s="12" t="s">
        <v>62</v>
      </c>
      <c r="G47" s="11" t="s">
        <v>389</v>
      </c>
      <c r="H47" s="11" t="s">
        <v>17</v>
      </c>
      <c r="I47" s="12" t="s">
        <v>389</v>
      </c>
      <c r="J47" s="12" t="s">
        <v>17</v>
      </c>
      <c r="K47" s="3"/>
      <c r="L47" s="3"/>
      <c r="M47" s="3"/>
      <c r="N47" s="3"/>
      <c r="O47" s="29"/>
      <c r="P47" s="29"/>
      <c r="Q47" s="29"/>
      <c r="R47" s="29"/>
      <c r="S47" s="29"/>
      <c r="T47" s="29"/>
    </row>
    <row r="48" spans="1:20" ht="15.05" customHeight="1">
      <c r="A48" s="1">
        <v>45</v>
      </c>
      <c r="B48" s="10">
        <v>1</v>
      </c>
      <c r="C48" s="10" t="s">
        <v>346</v>
      </c>
      <c r="D48" s="10" t="s">
        <v>78</v>
      </c>
      <c r="E48" s="12" t="s">
        <v>390</v>
      </c>
      <c r="F48" s="12" t="s">
        <v>30</v>
      </c>
      <c r="G48" s="11" t="s">
        <v>391</v>
      </c>
      <c r="H48" s="11" t="s">
        <v>42</v>
      </c>
      <c r="I48" s="12" t="s">
        <v>391</v>
      </c>
      <c r="J48" s="12" t="s">
        <v>42</v>
      </c>
      <c r="K48" s="3"/>
      <c r="L48" s="3"/>
      <c r="M48" s="3"/>
      <c r="N48" s="3"/>
      <c r="O48" s="29"/>
      <c r="P48" s="29"/>
      <c r="Q48" s="29"/>
      <c r="R48" s="29"/>
      <c r="S48" s="29"/>
      <c r="T48" s="29"/>
    </row>
    <row r="49" spans="1:20" ht="15.05" customHeight="1">
      <c r="A49" s="1">
        <v>46</v>
      </c>
      <c r="B49" s="10">
        <v>1</v>
      </c>
      <c r="C49" s="10" t="s">
        <v>392</v>
      </c>
      <c r="D49" s="10" t="s">
        <v>78</v>
      </c>
      <c r="E49" s="12" t="s">
        <v>393</v>
      </c>
      <c r="F49" s="12" t="s">
        <v>40</v>
      </c>
      <c r="G49" s="11" t="s">
        <v>394</v>
      </c>
      <c r="H49" s="11" t="s">
        <v>30</v>
      </c>
      <c r="I49" s="12" t="s">
        <v>394</v>
      </c>
      <c r="J49" s="12" t="s">
        <v>30</v>
      </c>
      <c r="K49" s="3"/>
      <c r="L49" s="3"/>
      <c r="M49" s="3"/>
      <c r="N49" s="3"/>
      <c r="O49" s="29"/>
      <c r="P49" s="29"/>
      <c r="Q49" s="29"/>
      <c r="R49" s="29"/>
      <c r="S49" s="29"/>
      <c r="T49" s="29"/>
    </row>
    <row r="50" spans="1:20" ht="15.05" customHeight="1">
      <c r="A50" s="1">
        <v>47</v>
      </c>
      <c r="B50" s="10">
        <v>1</v>
      </c>
      <c r="C50" s="10" t="s">
        <v>392</v>
      </c>
      <c r="D50" s="10" t="s">
        <v>78</v>
      </c>
      <c r="E50" s="12" t="s">
        <v>395</v>
      </c>
      <c r="F50" s="12" t="s">
        <v>65</v>
      </c>
      <c r="G50" s="11" t="s">
        <v>396</v>
      </c>
      <c r="H50" s="11" t="s">
        <v>62</v>
      </c>
      <c r="I50" s="12" t="s">
        <v>396</v>
      </c>
      <c r="J50" s="12" t="s">
        <v>62</v>
      </c>
      <c r="K50" s="3"/>
      <c r="L50" s="3"/>
      <c r="M50" s="3"/>
      <c r="N50" s="3"/>
      <c r="O50" s="29"/>
      <c r="P50" s="29"/>
      <c r="Q50" s="29"/>
      <c r="R50" s="29"/>
      <c r="S50" s="29"/>
      <c r="T50" s="29"/>
    </row>
    <row r="51" spans="1:20" ht="15.05" customHeight="1">
      <c r="A51" s="1">
        <v>48</v>
      </c>
      <c r="B51" s="10">
        <v>1</v>
      </c>
      <c r="C51" s="10" t="s">
        <v>349</v>
      </c>
      <c r="D51" s="10" t="s">
        <v>78</v>
      </c>
      <c r="E51" s="12" t="s">
        <v>351</v>
      </c>
      <c r="F51" s="12" t="s">
        <v>51</v>
      </c>
      <c r="G51" s="11" t="s">
        <v>35</v>
      </c>
      <c r="H51" s="11" t="s">
        <v>44</v>
      </c>
      <c r="I51" s="12" t="s">
        <v>35</v>
      </c>
      <c r="J51" s="12" t="s">
        <v>44</v>
      </c>
      <c r="K51" s="3"/>
      <c r="L51" s="3"/>
      <c r="M51" s="3"/>
      <c r="N51" s="3"/>
      <c r="O51" s="29"/>
      <c r="P51" s="29"/>
      <c r="Q51" s="29"/>
      <c r="R51" s="29"/>
      <c r="S51" s="29"/>
      <c r="T51" s="29"/>
    </row>
    <row r="52" spans="1:20" ht="15.05" customHeight="1">
      <c r="A52" s="1">
        <v>49</v>
      </c>
      <c r="B52" s="10">
        <v>1</v>
      </c>
      <c r="C52" s="10" t="s">
        <v>349</v>
      </c>
      <c r="D52" s="10" t="s">
        <v>78</v>
      </c>
      <c r="E52" s="12" t="s">
        <v>31</v>
      </c>
      <c r="F52" s="12" t="s">
        <v>23</v>
      </c>
      <c r="G52" s="11" t="s">
        <v>353</v>
      </c>
      <c r="H52" s="11" t="s">
        <v>17</v>
      </c>
      <c r="I52" s="12" t="s">
        <v>353</v>
      </c>
      <c r="J52" s="12" t="s">
        <v>17</v>
      </c>
      <c r="K52" s="3"/>
      <c r="L52" s="3"/>
      <c r="M52" s="3"/>
      <c r="N52" s="3"/>
      <c r="O52" s="29"/>
      <c r="P52" s="29"/>
      <c r="Q52" s="29"/>
      <c r="R52" s="29"/>
      <c r="S52" s="29"/>
      <c r="T52" s="29"/>
    </row>
    <row r="53" spans="1:20" ht="15.05" customHeight="1">
      <c r="A53" s="1">
        <v>50</v>
      </c>
      <c r="B53" s="10">
        <v>1</v>
      </c>
      <c r="C53" s="10" t="s">
        <v>311</v>
      </c>
      <c r="D53" s="10" t="s">
        <v>78</v>
      </c>
      <c r="E53" s="12" t="s">
        <v>355</v>
      </c>
      <c r="F53" s="12" t="s">
        <v>44</v>
      </c>
      <c r="G53" s="11" t="s">
        <v>358</v>
      </c>
      <c r="H53" s="11" t="s">
        <v>51</v>
      </c>
      <c r="I53" s="12" t="s">
        <v>358</v>
      </c>
      <c r="J53" s="12" t="s">
        <v>51</v>
      </c>
      <c r="K53" s="3"/>
      <c r="L53" s="3"/>
      <c r="M53" s="3"/>
      <c r="N53" s="3"/>
      <c r="O53" s="29"/>
      <c r="P53" s="29"/>
      <c r="Q53" s="29"/>
      <c r="R53" s="29"/>
      <c r="S53" s="29"/>
      <c r="T53" s="29"/>
    </row>
    <row r="54" spans="1:20" ht="15.05" customHeight="1">
      <c r="A54" s="1">
        <v>51</v>
      </c>
      <c r="B54" s="10">
        <v>1</v>
      </c>
      <c r="C54" s="10" t="s">
        <v>311</v>
      </c>
      <c r="D54" s="10" t="s">
        <v>78</v>
      </c>
      <c r="E54" s="12" t="s">
        <v>359</v>
      </c>
      <c r="F54" s="12" t="s">
        <v>326</v>
      </c>
      <c r="G54" s="11" t="s">
        <v>314</v>
      </c>
      <c r="H54" s="11" t="s">
        <v>62</v>
      </c>
      <c r="I54" s="12" t="s">
        <v>314</v>
      </c>
      <c r="J54" s="12" t="s">
        <v>62</v>
      </c>
      <c r="K54" s="3"/>
      <c r="L54" s="3"/>
      <c r="M54" s="3"/>
      <c r="N54" s="3"/>
      <c r="O54" s="29"/>
      <c r="P54" s="29"/>
      <c r="Q54" s="29"/>
      <c r="R54" s="29"/>
      <c r="S54" s="29"/>
      <c r="T54" s="29"/>
    </row>
    <row r="55" spans="1:20" ht="15.05" customHeight="1">
      <c r="A55" s="1">
        <v>52</v>
      </c>
      <c r="B55" s="10">
        <v>1</v>
      </c>
      <c r="C55" s="10" t="s">
        <v>315</v>
      </c>
      <c r="D55" s="10" t="s">
        <v>78</v>
      </c>
      <c r="E55" s="11" t="s">
        <v>318</v>
      </c>
      <c r="F55" s="11" t="s">
        <v>44</v>
      </c>
      <c r="G55" s="12" t="s">
        <v>364</v>
      </c>
      <c r="H55" s="12" t="s">
        <v>326</v>
      </c>
      <c r="I55" s="12" t="s">
        <v>318</v>
      </c>
      <c r="J55" s="12" t="s">
        <v>44</v>
      </c>
      <c r="K55" s="3"/>
      <c r="L55" s="3"/>
      <c r="M55" s="3"/>
      <c r="N55" s="3"/>
      <c r="O55" s="29"/>
      <c r="P55" s="29"/>
      <c r="Q55" s="29"/>
      <c r="R55" s="29"/>
      <c r="S55" s="29"/>
      <c r="T55" s="29"/>
    </row>
    <row r="56" spans="1:20" ht="15.05" customHeight="1">
      <c r="A56" s="1">
        <v>53</v>
      </c>
      <c r="B56" s="10">
        <v>1</v>
      </c>
      <c r="C56" s="10" t="s">
        <v>315</v>
      </c>
      <c r="D56" s="10" t="s">
        <v>78</v>
      </c>
      <c r="E56" s="12" t="s">
        <v>366</v>
      </c>
      <c r="F56" s="12" t="s">
        <v>23</v>
      </c>
      <c r="G56" s="11" t="s">
        <v>320</v>
      </c>
      <c r="H56" s="11" t="s">
        <v>88</v>
      </c>
      <c r="I56" s="12" t="s">
        <v>320</v>
      </c>
      <c r="J56" s="12" t="s">
        <v>88</v>
      </c>
      <c r="K56" s="3"/>
      <c r="L56" s="3"/>
      <c r="M56" s="3"/>
      <c r="N56" s="3"/>
      <c r="O56" s="29"/>
      <c r="P56" s="29"/>
      <c r="Q56" s="29"/>
      <c r="R56" s="29"/>
      <c r="S56" s="29"/>
      <c r="T56" s="29"/>
    </row>
    <row r="57" spans="1:20" ht="15.05" customHeight="1">
      <c r="A57" s="1">
        <v>54</v>
      </c>
      <c r="B57" s="10">
        <v>1</v>
      </c>
      <c r="C57" s="10" t="s">
        <v>321</v>
      </c>
      <c r="D57" s="10" t="s">
        <v>78</v>
      </c>
      <c r="E57" s="12" t="s">
        <v>323</v>
      </c>
      <c r="F57" s="12" t="s">
        <v>88</v>
      </c>
      <c r="G57" s="11" t="s">
        <v>225</v>
      </c>
      <c r="H57" s="11" t="s">
        <v>40</v>
      </c>
      <c r="I57" s="12" t="s">
        <v>225</v>
      </c>
      <c r="J57" s="12" t="s">
        <v>40</v>
      </c>
      <c r="K57" s="3"/>
      <c r="L57" s="3"/>
      <c r="M57" s="3"/>
      <c r="N57" s="3"/>
      <c r="O57" s="29"/>
      <c r="P57" s="29"/>
      <c r="Q57" s="29"/>
      <c r="R57" s="29"/>
      <c r="S57" s="29"/>
      <c r="T57" s="29"/>
    </row>
    <row r="58" spans="1:20" ht="15.05" customHeight="1">
      <c r="A58" s="1">
        <v>55</v>
      </c>
      <c r="B58" s="10">
        <v>1</v>
      </c>
      <c r="C58" s="10" t="s">
        <v>321</v>
      </c>
      <c r="D58" s="10" t="s">
        <v>78</v>
      </c>
      <c r="E58" s="12" t="s">
        <v>370</v>
      </c>
      <c r="F58" s="12" t="s">
        <v>62</v>
      </c>
      <c r="G58" s="11" t="s">
        <v>329</v>
      </c>
      <c r="H58" s="11" t="s">
        <v>27</v>
      </c>
      <c r="I58" s="12" t="s">
        <v>329</v>
      </c>
      <c r="J58" s="12" t="s">
        <v>27</v>
      </c>
      <c r="K58" s="3"/>
      <c r="L58" s="3"/>
      <c r="M58" s="3"/>
      <c r="N58" s="3"/>
      <c r="O58" s="29"/>
      <c r="P58" s="29"/>
      <c r="Q58" s="29"/>
      <c r="R58" s="29"/>
      <c r="S58" s="29"/>
      <c r="T58" s="29"/>
    </row>
    <row r="59" spans="1:20" ht="15.05" customHeight="1">
      <c r="A59" s="1">
        <v>56</v>
      </c>
      <c r="B59" s="10">
        <v>1</v>
      </c>
      <c r="C59" s="10" t="s">
        <v>331</v>
      </c>
      <c r="D59" s="10" t="s">
        <v>78</v>
      </c>
      <c r="E59" s="15" t="s">
        <v>74</v>
      </c>
      <c r="F59" s="15" t="s">
        <v>65</v>
      </c>
      <c r="G59" s="11" t="s">
        <v>372</v>
      </c>
      <c r="H59" s="11" t="s">
        <v>44</v>
      </c>
      <c r="I59" s="12" t="s">
        <v>372</v>
      </c>
      <c r="J59" s="12" t="s">
        <v>44</v>
      </c>
      <c r="K59" s="3"/>
      <c r="L59" s="3"/>
      <c r="M59" s="3"/>
      <c r="N59" s="3"/>
      <c r="O59" s="29"/>
      <c r="P59" s="29"/>
      <c r="Q59" s="29"/>
      <c r="R59" s="29"/>
      <c r="S59" s="29"/>
      <c r="T59" s="29"/>
    </row>
    <row r="60" spans="1:20" ht="15.05" customHeight="1">
      <c r="A60" s="1">
        <v>57</v>
      </c>
      <c r="B60" s="10">
        <v>1</v>
      </c>
      <c r="C60" s="10" t="s">
        <v>331</v>
      </c>
      <c r="D60" s="10" t="s">
        <v>78</v>
      </c>
      <c r="E60" s="11" t="s">
        <v>374</v>
      </c>
      <c r="F60" s="11" t="s">
        <v>42</v>
      </c>
      <c r="G60" s="14" t="s">
        <v>375</v>
      </c>
      <c r="H60" s="14" t="s">
        <v>62</v>
      </c>
      <c r="I60" s="12" t="s">
        <v>374</v>
      </c>
      <c r="J60" s="12" t="s">
        <v>42</v>
      </c>
      <c r="K60" s="3"/>
      <c r="L60" s="3"/>
      <c r="M60" s="3"/>
      <c r="N60" s="3"/>
      <c r="O60" s="29"/>
      <c r="P60" s="29"/>
      <c r="Q60" s="29"/>
      <c r="R60" s="29"/>
      <c r="S60" s="29"/>
      <c r="T60" s="29"/>
    </row>
    <row r="61" spans="1:20" ht="15.05" customHeight="1">
      <c r="A61" s="1">
        <v>58</v>
      </c>
      <c r="B61" s="10">
        <v>1</v>
      </c>
      <c r="C61" s="10" t="s">
        <v>337</v>
      </c>
      <c r="D61" s="10" t="s">
        <v>78</v>
      </c>
      <c r="E61" s="12" t="s">
        <v>376</v>
      </c>
      <c r="F61" s="12" t="s">
        <v>326</v>
      </c>
      <c r="G61" s="23" t="s">
        <v>378</v>
      </c>
      <c r="H61" s="23" t="s">
        <v>23</v>
      </c>
      <c r="I61" s="14" t="s">
        <v>378</v>
      </c>
      <c r="J61" s="14" t="s">
        <v>23</v>
      </c>
      <c r="K61" s="3"/>
      <c r="L61" s="3"/>
      <c r="M61" s="3"/>
      <c r="N61" s="3"/>
      <c r="O61" s="29"/>
      <c r="P61" s="29"/>
      <c r="Q61" s="29"/>
      <c r="R61" s="29"/>
      <c r="S61" s="29"/>
      <c r="T61" s="29"/>
    </row>
    <row r="62" spans="1:20" ht="15.05" customHeight="1">
      <c r="A62" s="1">
        <v>59</v>
      </c>
      <c r="B62" s="10">
        <v>1</v>
      </c>
      <c r="C62" s="10" t="s">
        <v>337</v>
      </c>
      <c r="D62" s="10" t="s">
        <v>78</v>
      </c>
      <c r="E62" s="11" t="s">
        <v>380</v>
      </c>
      <c r="F62" s="11" t="s">
        <v>42</v>
      </c>
      <c r="G62" s="12" t="s">
        <v>381</v>
      </c>
      <c r="H62" s="12" t="s">
        <v>30</v>
      </c>
      <c r="I62" s="12" t="s">
        <v>380</v>
      </c>
      <c r="J62" s="12" t="s">
        <v>42</v>
      </c>
      <c r="K62" s="3"/>
      <c r="L62" s="3"/>
      <c r="M62" s="3"/>
      <c r="N62" s="3"/>
      <c r="O62" s="29"/>
      <c r="P62" s="29"/>
      <c r="Q62" s="29"/>
      <c r="R62" s="29"/>
      <c r="S62" s="29"/>
      <c r="T62" s="29"/>
    </row>
    <row r="63" spans="1:20" ht="15.05" customHeight="1">
      <c r="A63" s="1">
        <v>60</v>
      </c>
      <c r="B63" s="10">
        <v>1</v>
      </c>
      <c r="C63" s="10" t="s">
        <v>340</v>
      </c>
      <c r="D63" s="10" t="s">
        <v>78</v>
      </c>
      <c r="E63" s="11" t="s">
        <v>31</v>
      </c>
      <c r="F63" s="11" t="s">
        <v>65</v>
      </c>
      <c r="G63" s="12" t="s">
        <v>384</v>
      </c>
      <c r="H63" s="12" t="s">
        <v>30</v>
      </c>
      <c r="I63" s="12" t="s">
        <v>31</v>
      </c>
      <c r="J63" s="12" t="s">
        <v>65</v>
      </c>
      <c r="K63" s="3"/>
      <c r="L63" s="3"/>
      <c r="M63" s="3"/>
      <c r="N63" s="3"/>
      <c r="O63" s="29"/>
      <c r="P63" s="29"/>
      <c r="Q63" s="29"/>
      <c r="R63" s="29"/>
      <c r="S63" s="29"/>
      <c r="T63" s="29"/>
    </row>
    <row r="64" spans="1:20" ht="15.05" customHeight="1">
      <c r="A64" s="1">
        <v>61</v>
      </c>
      <c r="B64" s="10">
        <v>1</v>
      </c>
      <c r="C64" s="10" t="s">
        <v>340</v>
      </c>
      <c r="D64" s="10" t="s">
        <v>78</v>
      </c>
      <c r="E64" s="32" t="s">
        <v>387</v>
      </c>
      <c r="F64" s="33" t="s">
        <v>326</v>
      </c>
      <c r="G64" s="12" t="s">
        <v>344</v>
      </c>
      <c r="H64" s="12" t="s">
        <v>59</v>
      </c>
      <c r="I64" s="30" t="s">
        <v>387</v>
      </c>
      <c r="J64" s="31" t="s">
        <v>326</v>
      </c>
      <c r="K64" s="3"/>
      <c r="L64" s="3"/>
      <c r="M64" s="3"/>
      <c r="N64" s="3"/>
      <c r="O64" s="29"/>
      <c r="P64" s="29"/>
      <c r="Q64" s="29"/>
      <c r="R64" s="29"/>
      <c r="S64" s="29"/>
      <c r="T64" s="29"/>
    </row>
    <row r="65" spans="1:20" ht="15.05" customHeight="1">
      <c r="A65" s="1">
        <v>61</v>
      </c>
      <c r="B65" s="28">
        <v>1</v>
      </c>
      <c r="C65" s="28" t="s">
        <v>397</v>
      </c>
      <c r="D65" s="28" t="s">
        <v>306</v>
      </c>
      <c r="E65" s="11" t="s">
        <v>393</v>
      </c>
      <c r="F65" s="11" t="s">
        <v>40</v>
      </c>
      <c r="G65" s="12" t="s">
        <v>395</v>
      </c>
      <c r="H65" s="12" t="s">
        <v>65</v>
      </c>
      <c r="I65" s="12" t="s">
        <v>393</v>
      </c>
      <c r="J65" s="12" t="s">
        <v>40</v>
      </c>
      <c r="K65" s="3"/>
      <c r="L65" s="3"/>
      <c r="M65" s="3"/>
      <c r="N65" s="3"/>
      <c r="O65" s="29"/>
      <c r="P65" s="29"/>
      <c r="Q65" s="29"/>
      <c r="R65" s="29"/>
      <c r="S65" s="29"/>
      <c r="T65" s="29"/>
    </row>
    <row r="66" spans="1:20" ht="15.05" customHeight="1">
      <c r="A66" s="1">
        <v>61</v>
      </c>
      <c r="B66" s="10">
        <v>1</v>
      </c>
      <c r="C66" s="10" t="s">
        <v>346</v>
      </c>
      <c r="D66" s="10" t="s">
        <v>84</v>
      </c>
      <c r="E66" s="12" t="s">
        <v>389</v>
      </c>
      <c r="F66" s="12" t="s">
        <v>17</v>
      </c>
      <c r="G66" s="11" t="s">
        <v>391</v>
      </c>
      <c r="H66" s="11" t="s">
        <v>42</v>
      </c>
      <c r="I66" s="12" t="s">
        <v>391</v>
      </c>
      <c r="J66" s="12" t="s">
        <v>42</v>
      </c>
      <c r="K66" s="3"/>
      <c r="L66" s="3"/>
      <c r="M66" s="3"/>
      <c r="N66" s="3"/>
      <c r="O66" s="29"/>
      <c r="P66" s="29"/>
      <c r="Q66" s="29"/>
      <c r="R66" s="29"/>
      <c r="S66" s="29"/>
      <c r="T66" s="29"/>
    </row>
    <row r="67" spans="1:20" ht="15.05" customHeight="1">
      <c r="A67" s="1">
        <v>61</v>
      </c>
      <c r="B67" s="10">
        <v>1</v>
      </c>
      <c r="C67" s="10" t="s">
        <v>392</v>
      </c>
      <c r="D67" s="10" t="s">
        <v>84</v>
      </c>
      <c r="E67" s="11" t="s">
        <v>394</v>
      </c>
      <c r="F67" s="11" t="s">
        <v>30</v>
      </c>
      <c r="G67" s="12" t="s">
        <v>396</v>
      </c>
      <c r="H67" s="12" t="s">
        <v>62</v>
      </c>
      <c r="I67" s="12" t="s">
        <v>394</v>
      </c>
      <c r="J67" s="12" t="s">
        <v>30</v>
      </c>
      <c r="K67" s="3"/>
      <c r="L67" s="3"/>
      <c r="M67" s="3"/>
      <c r="N67" s="3"/>
      <c r="O67" s="29"/>
      <c r="P67" s="29"/>
      <c r="Q67" s="29"/>
      <c r="R67" s="29"/>
      <c r="S67" s="29"/>
      <c r="T67" s="29"/>
    </row>
    <row r="68" spans="1:20" ht="15.05" customHeight="1">
      <c r="A68" s="1">
        <v>61</v>
      </c>
      <c r="B68" s="10">
        <v>1</v>
      </c>
      <c r="C68" s="10" t="s">
        <v>349</v>
      </c>
      <c r="D68" s="10" t="s">
        <v>84</v>
      </c>
      <c r="E68" s="12" t="s">
        <v>35</v>
      </c>
      <c r="F68" s="12" t="s">
        <v>44</v>
      </c>
      <c r="G68" s="11" t="s">
        <v>353</v>
      </c>
      <c r="H68" s="11" t="s">
        <v>17</v>
      </c>
      <c r="I68" s="12" t="s">
        <v>353</v>
      </c>
      <c r="J68" s="12" t="s">
        <v>17</v>
      </c>
      <c r="K68" s="3"/>
      <c r="L68" s="3"/>
      <c r="M68" s="3"/>
      <c r="N68" s="3"/>
      <c r="O68" s="29"/>
      <c r="P68" s="29"/>
      <c r="Q68" s="29"/>
      <c r="R68" s="29"/>
      <c r="S68" s="29"/>
      <c r="T68" s="29"/>
    </row>
    <row r="69" spans="1:20" ht="15.05" customHeight="1">
      <c r="A69" s="1">
        <v>61</v>
      </c>
      <c r="B69" s="10">
        <v>1</v>
      </c>
      <c r="C69" s="10" t="s">
        <v>311</v>
      </c>
      <c r="D69" s="10" t="s">
        <v>84</v>
      </c>
      <c r="E69" s="11" t="s">
        <v>358</v>
      </c>
      <c r="F69" s="11" t="s">
        <v>51</v>
      </c>
      <c r="G69" s="12" t="s">
        <v>314</v>
      </c>
      <c r="H69" s="12" t="s">
        <v>62</v>
      </c>
      <c r="I69" s="12" t="s">
        <v>358</v>
      </c>
      <c r="J69" s="12" t="s">
        <v>51</v>
      </c>
      <c r="K69" s="3"/>
      <c r="L69" s="3"/>
      <c r="M69" s="3"/>
      <c r="N69" s="3"/>
      <c r="O69" s="29"/>
      <c r="P69" s="29"/>
      <c r="Q69" s="29"/>
      <c r="R69" s="29"/>
      <c r="S69" s="29"/>
      <c r="T69" s="29"/>
    </row>
    <row r="70" spans="1:20" ht="15.05" customHeight="1">
      <c r="A70" s="1">
        <v>61</v>
      </c>
      <c r="B70" s="10">
        <v>1</v>
      </c>
      <c r="C70" s="10" t="s">
        <v>315</v>
      </c>
      <c r="D70" s="10" t="s">
        <v>84</v>
      </c>
      <c r="E70" s="11" t="s">
        <v>318</v>
      </c>
      <c r="F70" s="11" t="s">
        <v>44</v>
      </c>
      <c r="G70" s="12" t="s">
        <v>320</v>
      </c>
      <c r="H70" s="12" t="s">
        <v>88</v>
      </c>
      <c r="I70" s="12" t="s">
        <v>318</v>
      </c>
      <c r="J70" s="12" t="s">
        <v>44</v>
      </c>
      <c r="K70" s="3"/>
      <c r="L70" s="3"/>
      <c r="M70" s="3"/>
      <c r="N70" s="3"/>
      <c r="O70" s="29"/>
      <c r="P70" s="29"/>
      <c r="Q70" s="29"/>
      <c r="R70" s="29"/>
      <c r="S70" s="29"/>
      <c r="T70" s="29"/>
    </row>
    <row r="71" spans="1:20" ht="15.05" customHeight="1">
      <c r="A71" s="1">
        <v>61</v>
      </c>
      <c r="B71" s="10">
        <v>1</v>
      </c>
      <c r="C71" s="10" t="s">
        <v>321</v>
      </c>
      <c r="D71" s="10" t="s">
        <v>84</v>
      </c>
      <c r="E71" s="12" t="s">
        <v>225</v>
      </c>
      <c r="F71" s="12" t="s">
        <v>40</v>
      </c>
      <c r="G71" s="11" t="s">
        <v>329</v>
      </c>
      <c r="H71" s="11" t="s">
        <v>27</v>
      </c>
      <c r="I71" s="12" t="s">
        <v>329</v>
      </c>
      <c r="J71" s="12" t="s">
        <v>27</v>
      </c>
      <c r="K71" s="3"/>
      <c r="L71" s="3"/>
      <c r="M71" s="3"/>
      <c r="N71" s="3"/>
      <c r="O71" s="29"/>
      <c r="P71" s="29"/>
      <c r="Q71" s="29"/>
      <c r="R71" s="29"/>
      <c r="S71" s="29"/>
      <c r="T71" s="29"/>
    </row>
    <row r="72" spans="1:20" ht="15.05" customHeight="1">
      <c r="A72" s="1">
        <v>61</v>
      </c>
      <c r="B72" s="10">
        <v>1</v>
      </c>
      <c r="C72" s="10" t="s">
        <v>331</v>
      </c>
      <c r="D72" s="10" t="s">
        <v>84</v>
      </c>
      <c r="E72" s="11" t="s">
        <v>372</v>
      </c>
      <c r="F72" s="11" t="s">
        <v>44</v>
      </c>
      <c r="G72" s="12" t="s">
        <v>374</v>
      </c>
      <c r="H72" s="12" t="s">
        <v>42</v>
      </c>
      <c r="I72" s="12" t="s">
        <v>372</v>
      </c>
      <c r="J72" s="12" t="s">
        <v>44</v>
      </c>
      <c r="K72" s="3"/>
      <c r="L72" s="3"/>
      <c r="M72" s="3"/>
      <c r="N72" s="3"/>
      <c r="O72" s="29"/>
      <c r="P72" s="29"/>
      <c r="Q72" s="29"/>
      <c r="R72" s="29"/>
      <c r="S72" s="29"/>
      <c r="T72" s="29"/>
    </row>
    <row r="73" spans="1:20" ht="15.05" customHeight="1">
      <c r="A73" s="1">
        <v>61</v>
      </c>
      <c r="B73" s="10">
        <v>1</v>
      </c>
      <c r="C73" s="10" t="s">
        <v>337</v>
      </c>
      <c r="D73" s="10" t="s">
        <v>84</v>
      </c>
      <c r="E73" s="14" t="s">
        <v>378</v>
      </c>
      <c r="F73" s="14" t="s">
        <v>23</v>
      </c>
      <c r="G73" s="11" t="s">
        <v>380</v>
      </c>
      <c r="H73" s="11" t="s">
        <v>42</v>
      </c>
      <c r="I73" s="12" t="s">
        <v>380</v>
      </c>
      <c r="J73" s="12" t="s">
        <v>42</v>
      </c>
      <c r="K73" s="3"/>
      <c r="L73" s="3"/>
      <c r="M73" s="3"/>
      <c r="N73" s="3"/>
      <c r="O73" s="29"/>
      <c r="P73" s="29"/>
      <c r="Q73" s="29"/>
      <c r="R73" s="29"/>
      <c r="S73" s="29"/>
      <c r="T73" s="29"/>
    </row>
    <row r="74" spans="1:20" ht="15.05" customHeight="1">
      <c r="A74" s="1">
        <v>61</v>
      </c>
      <c r="B74" s="10">
        <v>1</v>
      </c>
      <c r="C74" s="10" t="s">
        <v>340</v>
      </c>
      <c r="D74" s="10" t="s">
        <v>84</v>
      </c>
      <c r="E74" s="11" t="s">
        <v>31</v>
      </c>
      <c r="F74" s="11" t="s">
        <v>65</v>
      </c>
      <c r="G74" s="30" t="s">
        <v>387</v>
      </c>
      <c r="H74" s="31" t="s">
        <v>326</v>
      </c>
      <c r="I74" s="12" t="s">
        <v>31</v>
      </c>
      <c r="J74" s="12" t="s">
        <v>65</v>
      </c>
      <c r="K74" s="3"/>
      <c r="L74" s="3"/>
      <c r="M74" s="3"/>
      <c r="N74" s="3"/>
      <c r="O74" s="29"/>
      <c r="P74" s="29"/>
      <c r="Q74" s="29"/>
      <c r="R74" s="29"/>
      <c r="S74" s="29"/>
      <c r="T74" s="29"/>
    </row>
    <row r="75" spans="1:20" ht="15.05" customHeight="1">
      <c r="A75" s="16"/>
      <c r="B75" s="17"/>
      <c r="C75" s="17"/>
      <c r="D75" s="17"/>
      <c r="E75" s="3"/>
      <c r="F75" s="3"/>
      <c r="G75" s="3"/>
      <c r="H75" s="3"/>
      <c r="I75" s="3"/>
      <c r="J75" s="3"/>
      <c r="K75" s="3"/>
      <c r="L75" s="3"/>
      <c r="M75" s="3"/>
      <c r="N75" s="3"/>
      <c r="O75" s="29"/>
      <c r="P75" s="29"/>
      <c r="Q75" s="29"/>
      <c r="R75" s="29"/>
      <c r="S75" s="29"/>
      <c r="T75" s="29"/>
    </row>
    <row r="76" spans="1:20" ht="15.05" customHeight="1">
      <c r="A76" s="16"/>
      <c r="B76" s="17"/>
      <c r="C76" s="17"/>
      <c r="D76" s="17"/>
      <c r="E76" s="3"/>
      <c r="F76" s="3"/>
      <c r="G76" s="3"/>
      <c r="H76" s="3"/>
      <c r="I76" s="3"/>
      <c r="J76" s="3"/>
      <c r="K76" s="3"/>
      <c r="L76" s="3"/>
      <c r="M76" s="3"/>
      <c r="N76" s="3"/>
      <c r="O76" s="29"/>
      <c r="P76" s="29"/>
      <c r="Q76" s="29"/>
      <c r="R76" s="29"/>
      <c r="S76" s="29"/>
      <c r="T76" s="29"/>
    </row>
    <row r="77" spans="1:20" ht="51.05" customHeight="1">
      <c r="A77" s="1"/>
      <c r="B77" s="2"/>
      <c r="C77" s="46" t="s">
        <v>398</v>
      </c>
      <c r="D77" s="47"/>
      <c r="E77" s="47"/>
      <c r="F77" s="47"/>
      <c r="G77" s="47"/>
      <c r="H77" s="47"/>
      <c r="I77" s="47"/>
      <c r="J77" s="47"/>
      <c r="K77" s="3"/>
      <c r="L77" s="3"/>
      <c r="M77" s="3"/>
      <c r="N77" s="3"/>
      <c r="O77" s="29"/>
      <c r="P77" s="29"/>
      <c r="Q77" s="29"/>
      <c r="R77" s="29"/>
      <c r="S77" s="29"/>
      <c r="T77" s="29"/>
    </row>
    <row r="78" spans="1:20" ht="15.05" customHeight="1">
      <c r="A78" s="54" t="s">
        <v>1</v>
      </c>
      <c r="B78" s="54" t="s">
        <v>2</v>
      </c>
      <c r="C78" s="54" t="s">
        <v>3</v>
      </c>
      <c r="D78" s="54" t="s">
        <v>4</v>
      </c>
      <c r="E78" s="50" t="s">
        <v>5</v>
      </c>
      <c r="F78" s="51"/>
      <c r="G78" s="52" t="s">
        <v>6</v>
      </c>
      <c r="H78" s="51"/>
      <c r="I78" s="53" t="s">
        <v>7</v>
      </c>
      <c r="J78" s="51"/>
      <c r="K78" s="3"/>
      <c r="L78" s="3"/>
      <c r="M78" s="3"/>
      <c r="N78" s="3"/>
      <c r="O78" s="29"/>
      <c r="P78" s="29"/>
      <c r="Q78" s="29"/>
      <c r="R78" s="29"/>
      <c r="S78" s="29"/>
      <c r="T78" s="29"/>
    </row>
    <row r="79" spans="1:20" ht="15.05" customHeight="1">
      <c r="A79" s="49"/>
      <c r="B79" s="49"/>
      <c r="C79" s="49"/>
      <c r="D79" s="49"/>
      <c r="E79" s="5" t="s">
        <v>8</v>
      </c>
      <c r="F79" s="5" t="s">
        <v>9</v>
      </c>
      <c r="G79" s="6" t="s">
        <v>8</v>
      </c>
      <c r="H79" s="6" t="s">
        <v>9</v>
      </c>
      <c r="I79" s="7" t="s">
        <v>8</v>
      </c>
      <c r="J79" s="21" t="s">
        <v>9</v>
      </c>
      <c r="K79" s="22"/>
      <c r="L79" s="22"/>
      <c r="M79" s="22"/>
      <c r="N79" s="22"/>
      <c r="O79" s="29"/>
      <c r="P79" s="29"/>
      <c r="Q79" s="29"/>
      <c r="R79" s="29"/>
      <c r="S79" s="29"/>
      <c r="T79" s="29"/>
    </row>
    <row r="80" spans="1:20" ht="15.05" customHeight="1">
      <c r="A80" s="1">
        <v>1</v>
      </c>
      <c r="B80" s="10">
        <v>2</v>
      </c>
      <c r="C80" s="10" t="s">
        <v>399</v>
      </c>
      <c r="D80" s="10" t="s">
        <v>11</v>
      </c>
      <c r="E80" s="12" t="s">
        <v>400</v>
      </c>
      <c r="F80" s="12" t="s">
        <v>48</v>
      </c>
      <c r="G80" s="11" t="s">
        <v>401</v>
      </c>
      <c r="H80" s="11" t="s">
        <v>40</v>
      </c>
      <c r="I80" s="12" t="s">
        <v>401</v>
      </c>
      <c r="J80" s="12" t="s">
        <v>40</v>
      </c>
      <c r="K80" s="3"/>
      <c r="L80" s="3"/>
      <c r="M80" s="3"/>
      <c r="N80" s="3"/>
      <c r="O80" s="29"/>
      <c r="P80" s="29"/>
      <c r="Q80" s="29"/>
      <c r="R80" s="29"/>
      <c r="S80" s="29"/>
      <c r="T80" s="29"/>
    </row>
    <row r="81" spans="1:20" ht="15.05" customHeight="1">
      <c r="A81" s="1">
        <v>2</v>
      </c>
      <c r="B81" s="10">
        <v>2</v>
      </c>
      <c r="C81" s="10" t="s">
        <v>402</v>
      </c>
      <c r="D81" s="10" t="s">
        <v>11</v>
      </c>
      <c r="E81" s="11" t="s">
        <v>403</v>
      </c>
      <c r="F81" s="11" t="s">
        <v>19</v>
      </c>
      <c r="G81" s="12" t="s">
        <v>404</v>
      </c>
      <c r="H81" s="12" t="s">
        <v>51</v>
      </c>
      <c r="I81" s="12" t="s">
        <v>403</v>
      </c>
      <c r="J81" s="12" t="s">
        <v>19</v>
      </c>
      <c r="K81" s="3"/>
      <c r="L81" s="3"/>
      <c r="M81" s="3"/>
      <c r="N81" s="3"/>
      <c r="O81" s="29"/>
      <c r="P81" s="29"/>
      <c r="Q81" s="29"/>
      <c r="R81" s="29"/>
      <c r="S81" s="29"/>
      <c r="T81" s="29"/>
    </row>
    <row r="82" spans="1:20" ht="15.05" customHeight="1">
      <c r="A82" s="1">
        <v>3</v>
      </c>
      <c r="B82" s="10">
        <v>2</v>
      </c>
      <c r="C82" s="10" t="s">
        <v>402</v>
      </c>
      <c r="D82" s="10" t="s">
        <v>11</v>
      </c>
      <c r="E82" s="12" t="s">
        <v>405</v>
      </c>
      <c r="F82" s="12" t="s">
        <v>70</v>
      </c>
      <c r="G82" s="11" t="s">
        <v>406</v>
      </c>
      <c r="H82" s="11" t="s">
        <v>40</v>
      </c>
      <c r="I82" s="12" t="s">
        <v>406</v>
      </c>
      <c r="J82" s="12" t="s">
        <v>40</v>
      </c>
      <c r="K82" s="3"/>
      <c r="L82" s="3"/>
      <c r="M82" s="3"/>
      <c r="N82" s="3"/>
      <c r="O82" s="29"/>
      <c r="P82" s="29"/>
      <c r="Q82" s="29"/>
      <c r="R82" s="29"/>
      <c r="S82" s="29"/>
      <c r="T82" s="29"/>
    </row>
    <row r="83" spans="1:20" ht="15.05" customHeight="1">
      <c r="A83" s="1">
        <v>4</v>
      </c>
      <c r="B83" s="10">
        <v>2</v>
      </c>
      <c r="C83" s="10" t="s">
        <v>402</v>
      </c>
      <c r="D83" s="10" t="s">
        <v>11</v>
      </c>
      <c r="E83" s="12" t="s">
        <v>300</v>
      </c>
      <c r="F83" s="12" t="s">
        <v>62</v>
      </c>
      <c r="G83" s="11" t="s">
        <v>407</v>
      </c>
      <c r="H83" s="11" t="s">
        <v>27</v>
      </c>
      <c r="I83" s="12" t="s">
        <v>407</v>
      </c>
      <c r="J83" s="12" t="s">
        <v>27</v>
      </c>
      <c r="K83" s="3"/>
      <c r="L83" s="3"/>
      <c r="M83" s="3"/>
      <c r="N83" s="3"/>
      <c r="O83" s="29"/>
      <c r="P83" s="29"/>
      <c r="Q83" s="29"/>
      <c r="R83" s="29"/>
      <c r="S83" s="29"/>
      <c r="T83" s="29"/>
    </row>
    <row r="84" spans="1:20" ht="15.05" customHeight="1">
      <c r="A84" s="1">
        <v>5</v>
      </c>
      <c r="B84" s="10">
        <v>2</v>
      </c>
      <c r="C84" s="10" t="s">
        <v>402</v>
      </c>
      <c r="D84" s="10" t="s">
        <v>11</v>
      </c>
      <c r="E84" s="12" t="s">
        <v>408</v>
      </c>
      <c r="F84" s="12" t="s">
        <v>23</v>
      </c>
      <c r="G84" s="11" t="s">
        <v>409</v>
      </c>
      <c r="H84" s="11" t="s">
        <v>42</v>
      </c>
      <c r="I84" s="12" t="s">
        <v>409</v>
      </c>
      <c r="J84" s="12" t="s">
        <v>42</v>
      </c>
      <c r="K84" s="3"/>
      <c r="L84" s="3"/>
      <c r="M84" s="3"/>
      <c r="N84" s="3"/>
      <c r="O84" s="29"/>
      <c r="P84" s="29"/>
      <c r="Q84" s="29"/>
      <c r="R84" s="29"/>
      <c r="S84" s="29"/>
      <c r="T84" s="29"/>
    </row>
    <row r="85" spans="1:20" ht="15.05" customHeight="1">
      <c r="A85" s="1">
        <v>6</v>
      </c>
      <c r="B85" s="10">
        <v>2</v>
      </c>
      <c r="C85" s="10" t="s">
        <v>410</v>
      </c>
      <c r="D85" s="10" t="s">
        <v>11</v>
      </c>
      <c r="E85" s="12" t="s">
        <v>254</v>
      </c>
      <c r="F85" s="12" t="s">
        <v>326</v>
      </c>
      <c r="G85" s="11" t="s">
        <v>408</v>
      </c>
      <c r="H85" s="11" t="s">
        <v>13</v>
      </c>
      <c r="I85" s="12" t="s">
        <v>408</v>
      </c>
      <c r="J85" s="12" t="s">
        <v>13</v>
      </c>
      <c r="K85" s="3"/>
      <c r="L85" s="3"/>
      <c r="M85" s="3"/>
      <c r="N85" s="3"/>
      <c r="O85" s="29"/>
      <c r="P85" s="29"/>
      <c r="Q85" s="29"/>
      <c r="R85" s="29"/>
      <c r="S85" s="29"/>
      <c r="T85" s="29"/>
    </row>
    <row r="86" spans="1:20" ht="15.05" customHeight="1">
      <c r="A86" s="1">
        <v>7</v>
      </c>
      <c r="B86" s="10">
        <v>2</v>
      </c>
      <c r="C86" s="10" t="s">
        <v>410</v>
      </c>
      <c r="D86" s="10" t="s">
        <v>11</v>
      </c>
      <c r="E86" s="12" t="s">
        <v>411</v>
      </c>
      <c r="F86" s="12" t="s">
        <v>168</v>
      </c>
      <c r="G86" s="11" t="s">
        <v>412</v>
      </c>
      <c r="H86" s="11" t="s">
        <v>88</v>
      </c>
      <c r="I86" s="12" t="s">
        <v>412</v>
      </c>
      <c r="J86" s="12" t="s">
        <v>88</v>
      </c>
      <c r="K86" s="3"/>
      <c r="L86" s="3"/>
      <c r="M86" s="3"/>
      <c r="N86" s="3"/>
      <c r="O86" s="29"/>
      <c r="P86" s="29"/>
      <c r="Q86" s="29"/>
      <c r="R86" s="29"/>
      <c r="S86" s="29"/>
      <c r="T86" s="29"/>
    </row>
    <row r="87" spans="1:20" ht="15.05" customHeight="1">
      <c r="A87" s="1">
        <v>8</v>
      </c>
      <c r="B87" s="10">
        <v>2</v>
      </c>
      <c r="C87" s="10" t="s">
        <v>410</v>
      </c>
      <c r="D87" s="10" t="s">
        <v>11</v>
      </c>
      <c r="E87" s="11" t="s">
        <v>413</v>
      </c>
      <c r="F87" s="11" t="s">
        <v>40</v>
      </c>
      <c r="G87" s="12" t="s">
        <v>414</v>
      </c>
      <c r="H87" s="12" t="s">
        <v>42</v>
      </c>
      <c r="I87" s="12" t="s">
        <v>415</v>
      </c>
      <c r="J87" s="12" t="s">
        <v>40</v>
      </c>
      <c r="K87" s="3"/>
      <c r="L87" s="3"/>
      <c r="M87" s="3"/>
      <c r="N87" s="3"/>
      <c r="O87" s="29"/>
      <c r="P87" s="29"/>
      <c r="Q87" s="29"/>
      <c r="R87" s="29"/>
      <c r="S87" s="29"/>
      <c r="T87" s="29"/>
    </row>
    <row r="88" spans="1:20" ht="15.05" customHeight="1">
      <c r="A88" s="1">
        <v>9</v>
      </c>
      <c r="B88" s="10">
        <v>2</v>
      </c>
      <c r="C88" s="10" t="s">
        <v>399</v>
      </c>
      <c r="D88" s="10" t="s">
        <v>11</v>
      </c>
      <c r="E88" s="12" t="s">
        <v>401</v>
      </c>
      <c r="F88" s="12" t="s">
        <v>40</v>
      </c>
      <c r="G88" s="11" t="s">
        <v>416</v>
      </c>
      <c r="H88" s="11" t="s">
        <v>62</v>
      </c>
      <c r="I88" s="12" t="s">
        <v>416</v>
      </c>
      <c r="J88" s="12" t="s">
        <v>62</v>
      </c>
      <c r="K88" s="3"/>
      <c r="L88" s="3"/>
      <c r="M88" s="3"/>
      <c r="N88" s="3"/>
      <c r="O88" s="29"/>
      <c r="P88" s="29"/>
      <c r="Q88" s="29"/>
      <c r="R88" s="29"/>
      <c r="S88" s="29"/>
      <c r="T88" s="29"/>
    </row>
    <row r="89" spans="1:20" ht="15.05" customHeight="1">
      <c r="A89" s="1">
        <v>10</v>
      </c>
      <c r="B89" s="10">
        <v>2</v>
      </c>
      <c r="C89" s="10" t="s">
        <v>399</v>
      </c>
      <c r="D89" s="10" t="s">
        <v>11</v>
      </c>
      <c r="E89" s="12" t="s">
        <v>417</v>
      </c>
      <c r="F89" s="12" t="s">
        <v>326</v>
      </c>
      <c r="G89" s="11" t="s">
        <v>418</v>
      </c>
      <c r="H89" s="11" t="s">
        <v>65</v>
      </c>
      <c r="I89" s="12" t="s">
        <v>418</v>
      </c>
      <c r="J89" s="12" t="s">
        <v>65</v>
      </c>
      <c r="K89" s="3"/>
      <c r="L89" s="3"/>
      <c r="M89" s="3"/>
      <c r="N89" s="3"/>
      <c r="O89" s="29"/>
      <c r="P89" s="29"/>
      <c r="Q89" s="29"/>
      <c r="R89" s="29"/>
      <c r="S89" s="29"/>
      <c r="T89" s="29"/>
    </row>
    <row r="90" spans="1:20" ht="15.05" customHeight="1">
      <c r="A90" s="1">
        <v>11</v>
      </c>
      <c r="B90" s="10">
        <v>2</v>
      </c>
      <c r="C90" s="10" t="s">
        <v>399</v>
      </c>
      <c r="D90" s="10" t="s">
        <v>11</v>
      </c>
      <c r="E90" s="12" t="s">
        <v>116</v>
      </c>
      <c r="F90" s="12" t="s">
        <v>44</v>
      </c>
      <c r="G90" s="12" t="s">
        <v>91</v>
      </c>
      <c r="H90" s="12" t="s">
        <v>17</v>
      </c>
      <c r="I90" s="12" t="s">
        <v>91</v>
      </c>
      <c r="J90" s="12" t="s">
        <v>17</v>
      </c>
      <c r="K90" s="3"/>
      <c r="L90" s="3"/>
      <c r="M90" s="3"/>
      <c r="N90" s="3"/>
      <c r="O90" s="29"/>
      <c r="P90" s="29"/>
      <c r="Q90" s="29"/>
      <c r="R90" s="29"/>
      <c r="S90" s="29"/>
      <c r="T90" s="29"/>
    </row>
    <row r="91" spans="1:20" ht="15.05" customHeight="1">
      <c r="A91" s="1">
        <v>12</v>
      </c>
      <c r="B91" s="10">
        <v>2</v>
      </c>
      <c r="C91" s="10" t="s">
        <v>399</v>
      </c>
      <c r="D91" s="10" t="s">
        <v>11</v>
      </c>
      <c r="E91" s="11" t="s">
        <v>419</v>
      </c>
      <c r="F91" s="11" t="s">
        <v>88</v>
      </c>
      <c r="G91" s="12" t="s">
        <v>270</v>
      </c>
      <c r="H91" s="12" t="s">
        <v>27</v>
      </c>
      <c r="I91" s="12" t="s">
        <v>419</v>
      </c>
      <c r="J91" s="12" t="s">
        <v>88</v>
      </c>
      <c r="K91" s="3"/>
      <c r="L91" s="3"/>
      <c r="M91" s="3"/>
      <c r="N91" s="3"/>
      <c r="O91" s="29"/>
      <c r="P91" s="29"/>
      <c r="Q91" s="29"/>
      <c r="R91" s="29"/>
      <c r="S91" s="29"/>
      <c r="T91" s="29"/>
    </row>
    <row r="92" spans="1:20" ht="15.05" customHeight="1">
      <c r="A92" s="1">
        <v>13</v>
      </c>
      <c r="B92" s="10">
        <v>2</v>
      </c>
      <c r="C92" s="10" t="s">
        <v>420</v>
      </c>
      <c r="D92" s="10" t="s">
        <v>11</v>
      </c>
      <c r="E92" s="12" t="s">
        <v>421</v>
      </c>
      <c r="F92" s="12" t="s">
        <v>70</v>
      </c>
      <c r="G92" s="11" t="s">
        <v>422</v>
      </c>
      <c r="H92" s="11" t="s">
        <v>326</v>
      </c>
      <c r="I92" s="12" t="s">
        <v>422</v>
      </c>
      <c r="J92" s="12" t="s">
        <v>326</v>
      </c>
      <c r="K92" s="3"/>
      <c r="L92" s="3"/>
      <c r="M92" s="3"/>
      <c r="N92" s="3"/>
      <c r="O92" s="29"/>
      <c r="P92" s="29"/>
      <c r="Q92" s="29"/>
      <c r="R92" s="29"/>
      <c r="S92" s="29"/>
      <c r="T92" s="29"/>
    </row>
    <row r="93" spans="1:20" ht="15.05" customHeight="1">
      <c r="A93" s="1">
        <v>14</v>
      </c>
      <c r="B93" s="10">
        <v>2</v>
      </c>
      <c r="C93" s="10" t="s">
        <v>420</v>
      </c>
      <c r="D93" s="10" t="s">
        <v>11</v>
      </c>
      <c r="E93" s="11" t="s">
        <v>94</v>
      </c>
      <c r="F93" s="11" t="s">
        <v>17</v>
      </c>
      <c r="G93" s="12" t="s">
        <v>423</v>
      </c>
      <c r="H93" s="12" t="s">
        <v>42</v>
      </c>
      <c r="I93" s="12" t="s">
        <v>94</v>
      </c>
      <c r="J93" s="12" t="s">
        <v>17</v>
      </c>
      <c r="K93" s="3"/>
      <c r="L93" s="3"/>
      <c r="M93" s="3"/>
      <c r="N93" s="3"/>
      <c r="O93" s="29"/>
      <c r="P93" s="29"/>
      <c r="Q93" s="29"/>
      <c r="R93" s="29"/>
      <c r="S93" s="29"/>
      <c r="T93" s="29"/>
    </row>
    <row r="94" spans="1:20" ht="15.05" customHeight="1">
      <c r="A94" s="1">
        <v>15</v>
      </c>
      <c r="B94" s="10">
        <v>2</v>
      </c>
      <c r="C94" s="10" t="s">
        <v>424</v>
      </c>
      <c r="D94" s="10" t="s">
        <v>11</v>
      </c>
      <c r="E94" s="12" t="s">
        <v>425</v>
      </c>
      <c r="F94" s="12" t="s">
        <v>62</v>
      </c>
      <c r="G94" s="11" t="s">
        <v>426</v>
      </c>
      <c r="H94" s="11" t="s">
        <v>17</v>
      </c>
      <c r="I94" s="12" t="s">
        <v>426</v>
      </c>
      <c r="J94" s="12" t="s">
        <v>17</v>
      </c>
      <c r="K94" s="3"/>
      <c r="L94" s="3"/>
      <c r="M94" s="3"/>
      <c r="N94" s="3"/>
      <c r="O94" s="29"/>
      <c r="P94" s="29"/>
      <c r="Q94" s="29"/>
      <c r="R94" s="29"/>
      <c r="S94" s="29"/>
      <c r="T94" s="29"/>
    </row>
    <row r="95" spans="1:20" ht="15.05" customHeight="1">
      <c r="A95" s="1">
        <v>16</v>
      </c>
      <c r="B95" s="10">
        <v>2</v>
      </c>
      <c r="C95" s="10" t="s">
        <v>427</v>
      </c>
      <c r="D95" s="10" t="s">
        <v>11</v>
      </c>
      <c r="E95" s="12" t="s">
        <v>428</v>
      </c>
      <c r="F95" s="12" t="s">
        <v>40</v>
      </c>
      <c r="G95" s="11" t="s">
        <v>429</v>
      </c>
      <c r="H95" s="11" t="s">
        <v>15</v>
      </c>
      <c r="I95" s="12" t="s">
        <v>429</v>
      </c>
      <c r="J95" s="12" t="s">
        <v>15</v>
      </c>
      <c r="K95" s="3"/>
      <c r="L95" s="3"/>
      <c r="M95" s="3"/>
      <c r="N95" s="3"/>
      <c r="O95" s="29"/>
      <c r="P95" s="29"/>
      <c r="Q95" s="29"/>
      <c r="R95" s="29"/>
      <c r="S95" s="29"/>
      <c r="T95" s="29"/>
    </row>
    <row r="96" spans="1:20" ht="15.05" customHeight="1">
      <c r="A96" s="1">
        <v>17</v>
      </c>
      <c r="B96" s="10">
        <v>2</v>
      </c>
      <c r="C96" s="10" t="s">
        <v>427</v>
      </c>
      <c r="D96" s="10" t="s">
        <v>11</v>
      </c>
      <c r="E96" s="12" t="s">
        <v>430</v>
      </c>
      <c r="F96" s="12" t="s">
        <v>168</v>
      </c>
      <c r="G96" s="11" t="s">
        <v>431</v>
      </c>
      <c r="H96" s="11" t="s">
        <v>27</v>
      </c>
      <c r="I96" s="12" t="s">
        <v>431</v>
      </c>
      <c r="J96" s="12" t="s">
        <v>27</v>
      </c>
      <c r="K96" s="3"/>
      <c r="L96" s="3"/>
      <c r="M96" s="3"/>
      <c r="N96" s="3"/>
      <c r="O96" s="29"/>
      <c r="P96" s="29"/>
      <c r="Q96" s="29"/>
      <c r="R96" s="29"/>
      <c r="S96" s="29"/>
      <c r="T96" s="29"/>
    </row>
    <row r="97" spans="1:20" ht="15.05" customHeight="1">
      <c r="A97" s="1">
        <v>18</v>
      </c>
      <c r="B97" s="10">
        <v>2</v>
      </c>
      <c r="C97" s="10" t="s">
        <v>432</v>
      </c>
      <c r="D97" s="10" t="s">
        <v>11</v>
      </c>
      <c r="E97" s="12" t="s">
        <v>433</v>
      </c>
      <c r="F97" s="12" t="s">
        <v>44</v>
      </c>
      <c r="G97" s="11" t="s">
        <v>434</v>
      </c>
      <c r="H97" s="11" t="s">
        <v>326</v>
      </c>
      <c r="I97" s="12" t="s">
        <v>434</v>
      </c>
      <c r="J97" s="12" t="s">
        <v>326</v>
      </c>
      <c r="K97" s="3"/>
      <c r="L97" s="3"/>
      <c r="M97" s="3"/>
      <c r="N97" s="3"/>
      <c r="O97" s="29"/>
      <c r="P97" s="29"/>
      <c r="Q97" s="29"/>
      <c r="R97" s="29"/>
      <c r="S97" s="29"/>
      <c r="T97" s="29"/>
    </row>
    <row r="98" spans="1:20" ht="15.05" customHeight="1">
      <c r="A98" s="1">
        <v>19</v>
      </c>
      <c r="B98" s="10">
        <v>2</v>
      </c>
      <c r="C98" s="10" t="s">
        <v>402</v>
      </c>
      <c r="D98" s="10" t="s">
        <v>78</v>
      </c>
      <c r="E98" s="12" t="s">
        <v>403</v>
      </c>
      <c r="F98" s="12" t="s">
        <v>19</v>
      </c>
      <c r="G98" s="11" t="s">
        <v>406</v>
      </c>
      <c r="H98" s="11" t="s">
        <v>40</v>
      </c>
      <c r="I98" s="12" t="s">
        <v>406</v>
      </c>
      <c r="J98" s="12" t="s">
        <v>40</v>
      </c>
      <c r="K98" s="3"/>
      <c r="L98" s="3"/>
      <c r="M98" s="3"/>
      <c r="N98" s="3"/>
      <c r="O98" s="29"/>
      <c r="P98" s="29"/>
      <c r="Q98" s="29"/>
      <c r="R98" s="29"/>
      <c r="S98" s="29"/>
      <c r="T98" s="29"/>
    </row>
    <row r="99" spans="1:20" ht="15.05" customHeight="1">
      <c r="A99" s="1">
        <v>20</v>
      </c>
      <c r="B99" s="10">
        <v>2</v>
      </c>
      <c r="C99" s="10" t="s">
        <v>402</v>
      </c>
      <c r="D99" s="10" t="s">
        <v>78</v>
      </c>
      <c r="E99" s="11" t="s">
        <v>407</v>
      </c>
      <c r="F99" s="11" t="s">
        <v>27</v>
      </c>
      <c r="G99" s="12" t="s">
        <v>409</v>
      </c>
      <c r="H99" s="12" t="s">
        <v>42</v>
      </c>
      <c r="I99" s="12"/>
      <c r="J99" s="24"/>
      <c r="K99" s="3"/>
      <c r="L99" s="3"/>
      <c r="M99" s="3"/>
      <c r="N99" s="3"/>
      <c r="O99" s="29"/>
      <c r="P99" s="29"/>
      <c r="Q99" s="29"/>
      <c r="R99" s="29"/>
      <c r="S99" s="29"/>
      <c r="T99" s="29"/>
    </row>
    <row r="100" spans="1:20" ht="15.05" customHeight="1">
      <c r="A100" s="1">
        <v>21</v>
      </c>
      <c r="B100" s="10">
        <v>2</v>
      </c>
      <c r="C100" s="10" t="s">
        <v>410</v>
      </c>
      <c r="D100" s="10" t="s">
        <v>78</v>
      </c>
      <c r="E100" s="12" t="s">
        <v>408</v>
      </c>
      <c r="F100" s="12" t="s">
        <v>13</v>
      </c>
      <c r="G100" s="11" t="s">
        <v>412</v>
      </c>
      <c r="H100" s="11" t="s">
        <v>88</v>
      </c>
      <c r="I100" s="12" t="s">
        <v>412</v>
      </c>
      <c r="J100" s="12" t="s">
        <v>88</v>
      </c>
      <c r="K100" s="3"/>
      <c r="L100" s="3"/>
      <c r="M100" s="3"/>
      <c r="N100" s="3"/>
      <c r="O100" s="29"/>
      <c r="P100" s="29"/>
      <c r="Q100" s="29"/>
      <c r="R100" s="29"/>
      <c r="S100" s="29"/>
      <c r="T100" s="29"/>
    </row>
    <row r="101" spans="1:20" ht="15.05" customHeight="1">
      <c r="A101" s="1">
        <v>22</v>
      </c>
      <c r="B101" s="10">
        <v>2</v>
      </c>
      <c r="C101" s="10" t="s">
        <v>410</v>
      </c>
      <c r="D101" s="10" t="s">
        <v>78</v>
      </c>
      <c r="E101" s="12" t="s">
        <v>435</v>
      </c>
      <c r="F101" s="12" t="s">
        <v>48</v>
      </c>
      <c r="G101" s="11" t="s">
        <v>415</v>
      </c>
      <c r="H101" s="11" t="s">
        <v>40</v>
      </c>
      <c r="I101" s="12" t="s">
        <v>415</v>
      </c>
      <c r="J101" s="12" t="s">
        <v>40</v>
      </c>
      <c r="K101" s="3"/>
      <c r="L101" s="3"/>
      <c r="M101" s="3"/>
      <c r="N101" s="3"/>
      <c r="O101" s="29"/>
      <c r="P101" s="29"/>
      <c r="Q101" s="29"/>
      <c r="R101" s="29"/>
      <c r="S101" s="29"/>
      <c r="T101" s="29"/>
    </row>
    <row r="102" spans="1:20" ht="15.05" customHeight="1">
      <c r="A102" s="1">
        <v>23</v>
      </c>
      <c r="B102" s="10">
        <v>2</v>
      </c>
      <c r="C102" s="10" t="s">
        <v>399</v>
      </c>
      <c r="D102" s="10" t="s">
        <v>78</v>
      </c>
      <c r="E102" s="12" t="s">
        <v>416</v>
      </c>
      <c r="F102" s="12" t="s">
        <v>62</v>
      </c>
      <c r="G102" s="11" t="s">
        <v>418</v>
      </c>
      <c r="H102" s="11" t="s">
        <v>65</v>
      </c>
      <c r="I102" s="12" t="s">
        <v>418</v>
      </c>
      <c r="J102" s="12" t="s">
        <v>65</v>
      </c>
      <c r="K102" s="3"/>
      <c r="L102" s="3"/>
      <c r="M102" s="3"/>
      <c r="N102" s="3"/>
      <c r="O102" s="29"/>
      <c r="P102" s="29"/>
      <c r="Q102" s="29"/>
      <c r="R102" s="29"/>
      <c r="S102" s="29"/>
      <c r="T102" s="29"/>
    </row>
    <row r="103" spans="1:20" ht="15.05" customHeight="1">
      <c r="A103" s="1">
        <v>24</v>
      </c>
      <c r="B103" s="10">
        <v>2</v>
      </c>
      <c r="C103" s="10" t="s">
        <v>399</v>
      </c>
      <c r="D103" s="10" t="s">
        <v>78</v>
      </c>
      <c r="E103" s="11" t="s">
        <v>91</v>
      </c>
      <c r="F103" s="11" t="s">
        <v>17</v>
      </c>
      <c r="G103" s="12" t="s">
        <v>419</v>
      </c>
      <c r="H103" s="12" t="s">
        <v>88</v>
      </c>
      <c r="I103" s="12" t="s">
        <v>91</v>
      </c>
      <c r="J103" s="12" t="s">
        <v>17</v>
      </c>
      <c r="K103" s="3"/>
      <c r="L103" s="3"/>
      <c r="M103" s="3"/>
      <c r="N103" s="3"/>
      <c r="O103" s="29"/>
      <c r="P103" s="29"/>
      <c r="Q103" s="29"/>
      <c r="R103" s="29"/>
      <c r="S103" s="29"/>
      <c r="T103" s="29"/>
    </row>
    <row r="104" spans="1:20" ht="15.05" customHeight="1">
      <c r="A104" s="1">
        <v>25</v>
      </c>
      <c r="B104" s="10">
        <v>2</v>
      </c>
      <c r="C104" s="10" t="s">
        <v>420</v>
      </c>
      <c r="D104" s="10" t="s">
        <v>78</v>
      </c>
      <c r="E104" s="11" t="s">
        <v>422</v>
      </c>
      <c r="F104" s="11" t="s">
        <v>326</v>
      </c>
      <c r="G104" s="12" t="s">
        <v>436</v>
      </c>
      <c r="H104" s="12" t="s">
        <v>30</v>
      </c>
      <c r="I104" s="12" t="s">
        <v>422</v>
      </c>
      <c r="J104" s="12" t="s">
        <v>326</v>
      </c>
      <c r="K104" s="3"/>
      <c r="L104" s="3"/>
      <c r="M104" s="3"/>
      <c r="N104" s="3"/>
      <c r="O104" s="29"/>
      <c r="P104" s="29"/>
      <c r="Q104" s="29"/>
      <c r="R104" s="29"/>
      <c r="S104" s="29"/>
      <c r="T104" s="29"/>
    </row>
    <row r="105" spans="1:20" ht="15.05" customHeight="1">
      <c r="A105" s="1">
        <v>26</v>
      </c>
      <c r="B105" s="10">
        <v>2</v>
      </c>
      <c r="C105" s="10" t="s">
        <v>420</v>
      </c>
      <c r="D105" s="10" t="s">
        <v>78</v>
      </c>
      <c r="E105" s="11" t="s">
        <v>437</v>
      </c>
      <c r="F105" s="11" t="s">
        <v>40</v>
      </c>
      <c r="G105" s="12" t="s">
        <v>94</v>
      </c>
      <c r="H105" s="12" t="s">
        <v>17</v>
      </c>
      <c r="I105" s="12" t="s">
        <v>437</v>
      </c>
      <c r="J105" s="12" t="s">
        <v>40</v>
      </c>
      <c r="K105" s="3"/>
      <c r="L105" s="3"/>
      <c r="M105" s="3"/>
      <c r="N105" s="3"/>
      <c r="O105" s="29"/>
      <c r="P105" s="29"/>
      <c r="Q105" s="29"/>
      <c r="R105" s="29"/>
      <c r="S105" s="29"/>
      <c r="T105" s="29"/>
    </row>
    <row r="106" spans="1:20" ht="15.05" customHeight="1">
      <c r="A106" s="1">
        <v>27</v>
      </c>
      <c r="B106" s="10">
        <v>2</v>
      </c>
      <c r="C106" s="10" t="s">
        <v>438</v>
      </c>
      <c r="D106" s="10" t="s">
        <v>78</v>
      </c>
      <c r="E106" s="12" t="s">
        <v>439</v>
      </c>
      <c r="F106" s="12" t="s">
        <v>62</v>
      </c>
      <c r="G106" s="11" t="s">
        <v>440</v>
      </c>
      <c r="H106" s="11" t="s">
        <v>65</v>
      </c>
      <c r="I106" s="12" t="s">
        <v>440</v>
      </c>
      <c r="J106" s="12" t="s">
        <v>65</v>
      </c>
      <c r="K106" s="3"/>
      <c r="L106" s="3"/>
      <c r="M106" s="3"/>
      <c r="N106" s="3"/>
      <c r="O106" s="29"/>
      <c r="P106" s="29"/>
      <c r="Q106" s="29"/>
      <c r="R106" s="29"/>
      <c r="S106" s="29"/>
      <c r="T106" s="29"/>
    </row>
    <row r="107" spans="1:20" ht="15.05" customHeight="1">
      <c r="A107" s="1">
        <v>28</v>
      </c>
      <c r="B107" s="10">
        <v>2</v>
      </c>
      <c r="C107" s="10" t="s">
        <v>438</v>
      </c>
      <c r="D107" s="10" t="s">
        <v>78</v>
      </c>
      <c r="E107" s="11" t="s">
        <v>441</v>
      </c>
      <c r="F107" s="11" t="s">
        <v>326</v>
      </c>
      <c r="G107" s="12" t="s">
        <v>442</v>
      </c>
      <c r="H107" s="12" t="s">
        <v>70</v>
      </c>
      <c r="I107" s="12" t="s">
        <v>441</v>
      </c>
      <c r="J107" s="12" t="s">
        <v>326</v>
      </c>
      <c r="K107" s="3"/>
      <c r="L107" s="3"/>
      <c r="M107" s="3"/>
      <c r="N107" s="3"/>
      <c r="O107" s="29"/>
      <c r="P107" s="29"/>
      <c r="Q107" s="29"/>
      <c r="R107" s="29"/>
      <c r="S107" s="29"/>
      <c r="T107" s="29"/>
    </row>
    <row r="108" spans="1:20" ht="15.05" customHeight="1">
      <c r="A108" s="1">
        <v>29</v>
      </c>
      <c r="B108" s="10">
        <v>2</v>
      </c>
      <c r="C108" s="10" t="s">
        <v>424</v>
      </c>
      <c r="D108" s="10" t="s">
        <v>78</v>
      </c>
      <c r="E108" s="11" t="s">
        <v>426</v>
      </c>
      <c r="F108" s="11" t="s">
        <v>17</v>
      </c>
      <c r="G108" s="12" t="s">
        <v>443</v>
      </c>
      <c r="H108" s="12" t="s">
        <v>44</v>
      </c>
      <c r="I108" s="12" t="s">
        <v>426</v>
      </c>
      <c r="J108" s="12" t="s">
        <v>17</v>
      </c>
      <c r="K108" s="3"/>
      <c r="L108" s="3"/>
      <c r="M108" s="3"/>
      <c r="N108" s="3"/>
      <c r="O108" s="29"/>
      <c r="P108" s="29"/>
      <c r="Q108" s="29"/>
      <c r="R108" s="29"/>
      <c r="S108" s="29"/>
      <c r="T108" s="29"/>
    </row>
    <row r="109" spans="1:20" ht="15.05" customHeight="1">
      <c r="A109" s="1">
        <v>30</v>
      </c>
      <c r="B109" s="10">
        <v>2</v>
      </c>
      <c r="C109" s="10" t="s">
        <v>424</v>
      </c>
      <c r="D109" s="10" t="s">
        <v>78</v>
      </c>
      <c r="E109" s="11" t="s">
        <v>444</v>
      </c>
      <c r="F109" s="11" t="s">
        <v>51</v>
      </c>
      <c r="G109" s="12" t="s">
        <v>445</v>
      </c>
      <c r="H109" s="12" t="s">
        <v>30</v>
      </c>
      <c r="I109" s="15" t="s">
        <v>444</v>
      </c>
      <c r="J109" s="15" t="s">
        <v>51</v>
      </c>
      <c r="K109" s="3"/>
      <c r="L109" s="3"/>
      <c r="M109" s="3"/>
      <c r="N109" s="3"/>
      <c r="O109" s="29"/>
      <c r="P109" s="29"/>
      <c r="Q109" s="29"/>
      <c r="R109" s="29"/>
      <c r="S109" s="29"/>
      <c r="T109" s="29"/>
    </row>
    <row r="110" spans="1:20" ht="15.05" customHeight="1">
      <c r="A110" s="1">
        <v>31</v>
      </c>
      <c r="B110" s="10">
        <v>2</v>
      </c>
      <c r="C110" s="10" t="s">
        <v>427</v>
      </c>
      <c r="D110" s="10" t="s">
        <v>78</v>
      </c>
      <c r="E110" s="12" t="s">
        <v>429</v>
      </c>
      <c r="F110" s="12" t="s">
        <v>15</v>
      </c>
      <c r="G110" s="11" t="s">
        <v>446</v>
      </c>
      <c r="H110" s="11" t="s">
        <v>326</v>
      </c>
      <c r="I110" s="12" t="s">
        <v>446</v>
      </c>
      <c r="J110" s="12" t="s">
        <v>326</v>
      </c>
      <c r="K110" s="3"/>
      <c r="L110" s="3"/>
      <c r="M110" s="3"/>
      <c r="N110" s="3"/>
      <c r="O110" s="29"/>
      <c r="P110" s="29"/>
      <c r="Q110" s="29"/>
      <c r="R110" s="29"/>
      <c r="S110" s="29"/>
      <c r="T110" s="29"/>
    </row>
    <row r="111" spans="1:20" ht="15.05" customHeight="1">
      <c r="A111" s="1">
        <v>32</v>
      </c>
      <c r="B111" s="10">
        <v>2</v>
      </c>
      <c r="C111" s="10" t="s">
        <v>427</v>
      </c>
      <c r="D111" s="10" t="s">
        <v>78</v>
      </c>
      <c r="E111" s="11" t="s">
        <v>447</v>
      </c>
      <c r="F111" s="11" t="s">
        <v>65</v>
      </c>
      <c r="G111" s="12" t="s">
        <v>431</v>
      </c>
      <c r="H111" s="12" t="s">
        <v>27</v>
      </c>
      <c r="I111" s="25" t="s">
        <v>448</v>
      </c>
      <c r="J111" s="25" t="s">
        <v>65</v>
      </c>
      <c r="K111" s="3"/>
      <c r="L111" s="3"/>
      <c r="M111" s="3"/>
      <c r="N111" s="3"/>
      <c r="O111" s="29"/>
      <c r="P111" s="29"/>
      <c r="Q111" s="29"/>
      <c r="R111" s="29"/>
      <c r="S111" s="29"/>
      <c r="T111" s="29"/>
    </row>
    <row r="112" spans="1:20" ht="15.05" customHeight="1">
      <c r="A112" s="1">
        <v>33</v>
      </c>
      <c r="B112" s="10">
        <v>2</v>
      </c>
      <c r="C112" s="10" t="s">
        <v>432</v>
      </c>
      <c r="D112" s="10" t="s">
        <v>78</v>
      </c>
      <c r="E112" s="11" t="s">
        <v>434</v>
      </c>
      <c r="F112" s="11" t="s">
        <v>326</v>
      </c>
      <c r="G112" s="12" t="s">
        <v>449</v>
      </c>
      <c r="H112" s="12" t="s">
        <v>34</v>
      </c>
      <c r="I112" s="12" t="s">
        <v>434</v>
      </c>
      <c r="J112" s="12" t="s">
        <v>326</v>
      </c>
      <c r="K112" s="3"/>
      <c r="L112" s="3"/>
      <c r="M112" s="3"/>
      <c r="N112" s="3"/>
      <c r="O112" s="29"/>
      <c r="P112" s="29"/>
      <c r="Q112" s="29"/>
      <c r="R112" s="29"/>
      <c r="S112" s="29"/>
      <c r="T112" s="29"/>
    </row>
    <row r="113" spans="1:20" ht="15.05" customHeight="1">
      <c r="A113" s="1">
        <v>34</v>
      </c>
      <c r="B113" s="10">
        <v>2</v>
      </c>
      <c r="C113" s="10" t="s">
        <v>432</v>
      </c>
      <c r="D113" s="10" t="s">
        <v>78</v>
      </c>
      <c r="E113" s="12" t="s">
        <v>137</v>
      </c>
      <c r="F113" s="12" t="s">
        <v>40</v>
      </c>
      <c r="G113" s="11" t="s">
        <v>225</v>
      </c>
      <c r="H113" s="11" t="s">
        <v>76</v>
      </c>
      <c r="I113" s="12" t="s">
        <v>225</v>
      </c>
      <c r="J113" s="12" t="s">
        <v>76</v>
      </c>
      <c r="K113" s="3"/>
      <c r="L113" s="3"/>
      <c r="M113" s="3"/>
      <c r="N113" s="3"/>
      <c r="O113" s="29"/>
      <c r="P113" s="29"/>
      <c r="Q113" s="29"/>
      <c r="R113" s="29"/>
      <c r="S113" s="29"/>
      <c r="T113" s="29"/>
    </row>
    <row r="114" spans="1:20" ht="15.05" customHeight="1">
      <c r="A114" s="1">
        <v>35</v>
      </c>
      <c r="B114" s="28">
        <v>2</v>
      </c>
      <c r="C114" s="28" t="s">
        <v>450</v>
      </c>
      <c r="D114" s="28" t="s">
        <v>306</v>
      </c>
      <c r="E114" s="12" t="s">
        <v>439</v>
      </c>
      <c r="F114" s="12" t="s">
        <v>62</v>
      </c>
      <c r="G114" s="11" t="s">
        <v>442</v>
      </c>
      <c r="H114" s="11" t="s">
        <v>70</v>
      </c>
      <c r="I114" s="12" t="s">
        <v>442</v>
      </c>
      <c r="J114" s="12" t="s">
        <v>70</v>
      </c>
      <c r="K114" s="3"/>
      <c r="L114" s="3"/>
      <c r="M114" s="3"/>
      <c r="N114" s="3"/>
      <c r="O114" s="29"/>
      <c r="P114" s="29"/>
      <c r="Q114" s="29"/>
      <c r="R114" s="29"/>
      <c r="S114" s="29"/>
      <c r="T114" s="29"/>
    </row>
    <row r="115" spans="1:20" ht="15.05" customHeight="1">
      <c r="A115" s="1">
        <v>36</v>
      </c>
      <c r="B115" s="10">
        <v>2</v>
      </c>
      <c r="C115" s="10" t="s">
        <v>402</v>
      </c>
      <c r="D115" s="10" t="s">
        <v>84</v>
      </c>
      <c r="E115" s="11" t="s">
        <v>406</v>
      </c>
      <c r="F115" s="11" t="s">
        <v>40</v>
      </c>
      <c r="G115" s="12" t="s">
        <v>407</v>
      </c>
      <c r="H115" s="12" t="s">
        <v>27</v>
      </c>
      <c r="I115" s="12" t="s">
        <v>406</v>
      </c>
      <c r="J115" s="12" t="s">
        <v>40</v>
      </c>
      <c r="K115" s="3"/>
      <c r="L115" s="3"/>
      <c r="M115" s="3"/>
      <c r="N115" s="3"/>
      <c r="O115" s="29"/>
      <c r="P115" s="29"/>
      <c r="Q115" s="29"/>
      <c r="R115" s="29"/>
      <c r="S115" s="29"/>
      <c r="T115" s="29"/>
    </row>
    <row r="116" spans="1:20" ht="15.05" customHeight="1">
      <c r="A116" s="1">
        <v>37</v>
      </c>
      <c r="B116" s="10">
        <v>2</v>
      </c>
      <c r="C116" s="10" t="s">
        <v>410</v>
      </c>
      <c r="D116" s="10" t="s">
        <v>84</v>
      </c>
      <c r="E116" s="12" t="s">
        <v>412</v>
      </c>
      <c r="F116" s="12" t="s">
        <v>88</v>
      </c>
      <c r="G116" s="11" t="s">
        <v>415</v>
      </c>
      <c r="H116" s="11" t="s">
        <v>40</v>
      </c>
      <c r="I116" s="12" t="s">
        <v>415</v>
      </c>
      <c r="J116" s="12" t="s">
        <v>40</v>
      </c>
      <c r="K116" s="3"/>
      <c r="L116" s="3"/>
      <c r="M116" s="3"/>
      <c r="N116" s="3"/>
      <c r="O116" s="29"/>
      <c r="P116" s="29"/>
      <c r="Q116" s="29"/>
      <c r="R116" s="29"/>
      <c r="S116" s="29"/>
      <c r="T116" s="29"/>
    </row>
    <row r="117" spans="1:20" ht="15.05" customHeight="1">
      <c r="A117" s="1">
        <v>38</v>
      </c>
      <c r="B117" s="10">
        <v>2</v>
      </c>
      <c r="C117" s="10" t="s">
        <v>399</v>
      </c>
      <c r="D117" s="10" t="s">
        <v>84</v>
      </c>
      <c r="E117" s="11" t="s">
        <v>418</v>
      </c>
      <c r="F117" s="11" t="s">
        <v>65</v>
      </c>
      <c r="G117" s="12" t="s">
        <v>91</v>
      </c>
      <c r="H117" s="12" t="s">
        <v>17</v>
      </c>
      <c r="I117" s="12" t="s">
        <v>418</v>
      </c>
      <c r="J117" s="12" t="s">
        <v>65</v>
      </c>
      <c r="K117" s="3"/>
      <c r="L117" s="3"/>
      <c r="M117" s="3"/>
      <c r="N117" s="3"/>
      <c r="O117" s="29"/>
      <c r="P117" s="29"/>
      <c r="Q117" s="29"/>
      <c r="R117" s="29"/>
      <c r="S117" s="29"/>
      <c r="T117" s="29"/>
    </row>
    <row r="118" spans="1:20" ht="15.05" customHeight="1">
      <c r="A118" s="1">
        <v>39</v>
      </c>
      <c r="B118" s="10">
        <v>2</v>
      </c>
      <c r="C118" s="10" t="s">
        <v>420</v>
      </c>
      <c r="D118" s="10" t="s">
        <v>84</v>
      </c>
      <c r="E118" s="12" t="s">
        <v>422</v>
      </c>
      <c r="F118" s="12" t="s">
        <v>326</v>
      </c>
      <c r="G118" s="11" t="s">
        <v>437</v>
      </c>
      <c r="H118" s="11" t="s">
        <v>40</v>
      </c>
      <c r="I118" s="12" t="s">
        <v>437</v>
      </c>
      <c r="J118" s="12" t="s">
        <v>40</v>
      </c>
      <c r="K118" s="3"/>
      <c r="L118" s="3"/>
      <c r="M118" s="3"/>
      <c r="N118" s="3"/>
      <c r="O118" s="29"/>
      <c r="P118" s="29"/>
      <c r="Q118" s="29"/>
      <c r="R118" s="29"/>
      <c r="S118" s="29"/>
      <c r="T118" s="29"/>
    </row>
    <row r="119" spans="1:20" ht="15.05" customHeight="1">
      <c r="A119" s="1">
        <v>40</v>
      </c>
      <c r="B119" s="10">
        <v>2</v>
      </c>
      <c r="C119" s="10" t="s">
        <v>438</v>
      </c>
      <c r="D119" s="10" t="s">
        <v>84</v>
      </c>
      <c r="E119" s="12" t="s">
        <v>440</v>
      </c>
      <c r="F119" s="12" t="s">
        <v>65</v>
      </c>
      <c r="G119" s="11" t="s">
        <v>441</v>
      </c>
      <c r="H119" s="11" t="s">
        <v>326</v>
      </c>
      <c r="I119" s="12" t="s">
        <v>441</v>
      </c>
      <c r="J119" s="12" t="s">
        <v>326</v>
      </c>
      <c r="K119" s="3"/>
      <c r="L119" s="3"/>
      <c r="M119" s="3"/>
      <c r="N119" s="3"/>
      <c r="O119" s="29"/>
      <c r="P119" s="29"/>
      <c r="Q119" s="29"/>
      <c r="R119" s="29"/>
      <c r="S119" s="29"/>
      <c r="T119" s="29"/>
    </row>
    <row r="120" spans="1:20" ht="15.05" customHeight="1">
      <c r="A120" s="1">
        <v>41</v>
      </c>
      <c r="B120" s="10">
        <v>2</v>
      </c>
      <c r="C120" s="10" t="s">
        <v>424</v>
      </c>
      <c r="D120" s="10" t="s">
        <v>84</v>
      </c>
      <c r="E120" s="11" t="s">
        <v>426</v>
      </c>
      <c r="F120" s="11" t="s">
        <v>17</v>
      </c>
      <c r="G120" s="15" t="s">
        <v>444</v>
      </c>
      <c r="H120" s="15" t="s">
        <v>51</v>
      </c>
      <c r="I120" s="12" t="s">
        <v>426</v>
      </c>
      <c r="J120" s="12" t="s">
        <v>17</v>
      </c>
      <c r="K120" s="3"/>
      <c r="L120" s="3"/>
      <c r="M120" s="3"/>
      <c r="N120" s="3"/>
      <c r="O120" s="29"/>
      <c r="P120" s="29"/>
      <c r="Q120" s="29"/>
      <c r="R120" s="29"/>
      <c r="S120" s="29"/>
      <c r="T120" s="29"/>
    </row>
    <row r="121" spans="1:20" ht="15.05" customHeight="1">
      <c r="A121" s="1">
        <v>42</v>
      </c>
      <c r="B121" s="10">
        <v>2</v>
      </c>
      <c r="C121" s="10" t="s">
        <v>427</v>
      </c>
      <c r="D121" s="10" t="s">
        <v>84</v>
      </c>
      <c r="E121" s="11" t="s">
        <v>446</v>
      </c>
      <c r="F121" s="11" t="s">
        <v>326</v>
      </c>
      <c r="G121" s="15" t="s">
        <v>447</v>
      </c>
      <c r="H121" s="15" t="s">
        <v>65</v>
      </c>
      <c r="I121" s="12" t="s">
        <v>446</v>
      </c>
      <c r="J121" s="12" t="s">
        <v>326</v>
      </c>
      <c r="K121" s="3"/>
      <c r="L121" s="3"/>
      <c r="M121" s="3"/>
      <c r="N121" s="3"/>
      <c r="O121" s="29"/>
      <c r="P121" s="29"/>
      <c r="Q121" s="29"/>
      <c r="R121" s="29"/>
      <c r="S121" s="29"/>
      <c r="T121" s="29"/>
    </row>
    <row r="122" spans="1:20" ht="15.05" customHeight="1">
      <c r="A122" s="1">
        <v>43</v>
      </c>
      <c r="B122" s="10">
        <v>2</v>
      </c>
      <c r="C122" s="10" t="s">
        <v>432</v>
      </c>
      <c r="D122" s="10" t="s">
        <v>84</v>
      </c>
      <c r="E122" s="11" t="s">
        <v>434</v>
      </c>
      <c r="F122" s="11" t="s">
        <v>326</v>
      </c>
      <c r="G122" s="12" t="s">
        <v>225</v>
      </c>
      <c r="H122" s="12" t="s">
        <v>76</v>
      </c>
      <c r="I122" s="11" t="s">
        <v>434</v>
      </c>
      <c r="J122" s="11" t="s">
        <v>326</v>
      </c>
      <c r="K122" s="3"/>
      <c r="L122" s="3"/>
      <c r="M122" s="3"/>
      <c r="N122" s="3"/>
      <c r="O122" s="29"/>
      <c r="P122" s="29"/>
      <c r="Q122" s="29"/>
      <c r="R122" s="29"/>
      <c r="S122" s="29"/>
      <c r="T122" s="29"/>
    </row>
    <row r="123" spans="1:20" ht="15.05" customHeight="1">
      <c r="A123" s="16"/>
      <c r="B123" s="17"/>
      <c r="C123" s="17"/>
      <c r="D123" s="1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29"/>
      <c r="P123" s="29"/>
      <c r="Q123" s="29"/>
      <c r="R123" s="29"/>
      <c r="S123" s="29"/>
      <c r="T123" s="29"/>
    </row>
    <row r="124" spans="1:20" ht="15.05" customHeight="1">
      <c r="A124" s="16"/>
      <c r="B124" s="17"/>
      <c r="C124" s="17"/>
      <c r="D124" s="1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29"/>
      <c r="P124" s="29"/>
      <c r="Q124" s="29"/>
      <c r="R124" s="29"/>
      <c r="S124" s="29"/>
      <c r="T124" s="29"/>
    </row>
    <row r="125" spans="1:20" ht="15.05" customHeight="1">
      <c r="A125" s="16"/>
      <c r="B125" s="17"/>
      <c r="C125" s="17"/>
      <c r="D125" s="1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29"/>
      <c r="P125" s="29"/>
      <c r="Q125" s="29"/>
      <c r="R125" s="29"/>
      <c r="S125" s="29"/>
      <c r="T125" s="29"/>
    </row>
    <row r="126" spans="1:20" ht="15.05" customHeight="1">
      <c r="A126" s="16"/>
      <c r="B126" s="17"/>
      <c r="C126" s="17"/>
      <c r="D126" s="1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29"/>
      <c r="P126" s="29"/>
      <c r="Q126" s="29"/>
      <c r="R126" s="29"/>
      <c r="S126" s="29"/>
      <c r="T126" s="29"/>
    </row>
    <row r="127" spans="1:20" ht="15.05" customHeight="1">
      <c r="A127" s="16"/>
      <c r="B127" s="17"/>
      <c r="C127" s="17"/>
      <c r="D127" s="1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29"/>
      <c r="P127" s="29"/>
      <c r="Q127" s="29"/>
      <c r="R127" s="29"/>
      <c r="S127" s="29"/>
      <c r="T127" s="29"/>
    </row>
    <row r="128" spans="1:20" ht="15.05" customHeight="1">
      <c r="A128" s="16"/>
      <c r="B128" s="17"/>
      <c r="C128" s="17"/>
      <c r="D128" s="1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29"/>
      <c r="P128" s="29"/>
      <c r="Q128" s="29"/>
      <c r="R128" s="29"/>
      <c r="S128" s="29"/>
      <c r="T128" s="29"/>
    </row>
    <row r="129" spans="1:20" ht="15.05" customHeight="1">
      <c r="A129" s="16"/>
      <c r="B129" s="17"/>
      <c r="C129" s="17"/>
      <c r="D129" s="1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29"/>
      <c r="P129" s="29"/>
      <c r="Q129" s="29"/>
      <c r="R129" s="29"/>
      <c r="S129" s="29"/>
      <c r="T129" s="29"/>
    </row>
    <row r="130" spans="1:20" ht="15.05" customHeight="1">
      <c r="A130" s="16"/>
      <c r="B130" s="17"/>
      <c r="C130" s="17"/>
      <c r="D130" s="1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29"/>
      <c r="P130" s="29"/>
      <c r="Q130" s="29"/>
      <c r="R130" s="29"/>
      <c r="S130" s="29"/>
      <c r="T130" s="29"/>
    </row>
    <row r="131" spans="1:20" ht="15.05" customHeight="1">
      <c r="A131" s="16"/>
      <c r="B131" s="17"/>
      <c r="C131" s="17"/>
      <c r="D131" s="1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29"/>
      <c r="P131" s="29"/>
      <c r="Q131" s="29"/>
      <c r="R131" s="29"/>
      <c r="S131" s="29"/>
      <c r="T131" s="29"/>
    </row>
    <row r="132" spans="1:20" ht="15.05" customHeight="1">
      <c r="A132" s="16"/>
      <c r="B132" s="17"/>
      <c r="C132" s="17"/>
      <c r="D132" s="1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29"/>
      <c r="P132" s="29"/>
      <c r="Q132" s="29"/>
      <c r="R132" s="29"/>
      <c r="S132" s="29"/>
      <c r="T132" s="29"/>
    </row>
    <row r="133" spans="1:20" ht="15.05" customHeight="1">
      <c r="A133" s="16"/>
      <c r="B133" s="17"/>
      <c r="C133" s="17"/>
      <c r="D133" s="1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29"/>
      <c r="P133" s="29"/>
      <c r="Q133" s="29"/>
      <c r="R133" s="29"/>
      <c r="S133" s="29"/>
      <c r="T133" s="29"/>
    </row>
    <row r="134" spans="1:20" ht="15.05" customHeight="1">
      <c r="A134" s="16"/>
      <c r="B134" s="17"/>
      <c r="C134" s="17"/>
      <c r="D134" s="1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29"/>
      <c r="P134" s="29"/>
      <c r="Q134" s="29"/>
      <c r="R134" s="29"/>
      <c r="S134" s="29"/>
      <c r="T134" s="29"/>
    </row>
    <row r="135" spans="1:20" ht="15.05" customHeight="1">
      <c r="A135" s="16"/>
      <c r="B135" s="17"/>
      <c r="C135" s="17"/>
      <c r="D135" s="1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9"/>
      <c r="P135" s="29"/>
      <c r="Q135" s="29"/>
      <c r="R135" s="29"/>
      <c r="S135" s="29"/>
      <c r="T135" s="29"/>
    </row>
    <row r="136" spans="1:20" ht="15.05" customHeight="1">
      <c r="A136" s="16"/>
      <c r="B136" s="17"/>
      <c r="C136" s="17"/>
      <c r="D136" s="1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9"/>
      <c r="P136" s="29"/>
      <c r="Q136" s="29"/>
      <c r="R136" s="29"/>
      <c r="S136" s="29"/>
      <c r="T136" s="29"/>
    </row>
    <row r="137" spans="1:20" ht="15.05" customHeight="1">
      <c r="A137" s="16"/>
      <c r="B137" s="17"/>
      <c r="C137" s="17"/>
      <c r="D137" s="1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9"/>
      <c r="P137" s="29"/>
      <c r="Q137" s="29"/>
      <c r="R137" s="29"/>
      <c r="S137" s="29"/>
      <c r="T137" s="29"/>
    </row>
    <row r="138" spans="1:20" ht="15.05" customHeight="1">
      <c r="A138" s="16"/>
      <c r="B138" s="17"/>
      <c r="C138" s="17"/>
      <c r="D138" s="1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9"/>
      <c r="P138" s="29"/>
      <c r="Q138" s="29"/>
      <c r="R138" s="29"/>
      <c r="S138" s="29"/>
      <c r="T138" s="29"/>
    </row>
    <row r="139" spans="1:20" ht="15.05" customHeight="1">
      <c r="A139" s="16"/>
      <c r="B139" s="17"/>
      <c r="C139" s="17"/>
      <c r="D139" s="1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29"/>
      <c r="P139" s="29"/>
      <c r="Q139" s="29"/>
      <c r="R139" s="29"/>
      <c r="S139" s="29"/>
      <c r="T139" s="29"/>
    </row>
    <row r="140" spans="1:20" ht="15.05" customHeight="1">
      <c r="A140" s="16"/>
      <c r="B140" s="17"/>
      <c r="C140" s="17"/>
      <c r="D140" s="1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29"/>
      <c r="P140" s="29"/>
      <c r="Q140" s="29"/>
      <c r="R140" s="29"/>
      <c r="S140" s="29"/>
      <c r="T140" s="29"/>
    </row>
    <row r="141" spans="1:20" ht="15.05" customHeight="1">
      <c r="A141" s="16"/>
      <c r="B141" s="17"/>
      <c r="C141" s="17"/>
      <c r="D141" s="1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29"/>
      <c r="P141" s="29"/>
      <c r="Q141" s="29"/>
      <c r="R141" s="29"/>
      <c r="S141" s="29"/>
      <c r="T141" s="29"/>
    </row>
    <row r="142" spans="1:20" ht="15.05" customHeight="1">
      <c r="A142" s="16"/>
      <c r="B142" s="17"/>
      <c r="C142" s="17"/>
      <c r="D142" s="1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29"/>
      <c r="P142" s="29"/>
      <c r="Q142" s="29"/>
      <c r="R142" s="29"/>
      <c r="S142" s="29"/>
      <c r="T142" s="29"/>
    </row>
    <row r="143" spans="1:20" ht="15.05" customHeight="1">
      <c r="A143" s="16"/>
      <c r="B143" s="17"/>
      <c r="C143" s="17"/>
      <c r="D143" s="1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9"/>
      <c r="P143" s="29"/>
      <c r="Q143" s="29"/>
      <c r="R143" s="29"/>
      <c r="S143" s="29"/>
      <c r="T143" s="29"/>
    </row>
    <row r="144" spans="1:20" ht="15.05" customHeight="1">
      <c r="A144" s="16"/>
      <c r="B144" s="17"/>
      <c r="C144" s="17"/>
      <c r="D144" s="1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29"/>
      <c r="P144" s="29"/>
      <c r="Q144" s="29"/>
      <c r="R144" s="29"/>
      <c r="S144" s="29"/>
      <c r="T144" s="29"/>
    </row>
    <row r="145" spans="1:20" ht="15.05" customHeight="1">
      <c r="A145" s="16"/>
      <c r="B145" s="17"/>
      <c r="C145" s="17"/>
      <c r="D145" s="1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29"/>
      <c r="P145" s="29"/>
      <c r="Q145" s="29"/>
      <c r="R145" s="29"/>
      <c r="S145" s="29"/>
      <c r="T145" s="29"/>
    </row>
    <row r="146" spans="1:20" ht="15.05" customHeight="1">
      <c r="A146" s="16"/>
      <c r="B146" s="17"/>
      <c r="C146" s="17"/>
      <c r="D146" s="1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29"/>
      <c r="P146" s="29"/>
      <c r="Q146" s="29"/>
      <c r="R146" s="29"/>
      <c r="S146" s="29"/>
      <c r="T146" s="29"/>
    </row>
    <row r="147" spans="1:20" ht="15.05" customHeight="1">
      <c r="A147" s="16"/>
      <c r="B147" s="17"/>
      <c r="C147" s="17"/>
      <c r="D147" s="1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29"/>
      <c r="P147" s="29"/>
      <c r="Q147" s="29"/>
      <c r="R147" s="29"/>
      <c r="S147" s="29"/>
      <c r="T147" s="29"/>
    </row>
    <row r="148" spans="1:20" ht="15.05" customHeight="1">
      <c r="A148" s="16"/>
      <c r="B148" s="17"/>
      <c r="C148" s="17"/>
      <c r="D148" s="1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29"/>
      <c r="P148" s="29"/>
      <c r="Q148" s="29"/>
      <c r="R148" s="29"/>
      <c r="S148" s="29"/>
      <c r="T148" s="29"/>
    </row>
    <row r="149" spans="1:20" ht="15.05" customHeight="1">
      <c r="A149" s="16"/>
      <c r="B149" s="17"/>
      <c r="C149" s="17"/>
      <c r="D149" s="1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29"/>
      <c r="P149" s="29"/>
      <c r="Q149" s="29"/>
      <c r="R149" s="29"/>
      <c r="S149" s="29"/>
      <c r="T149" s="29"/>
    </row>
    <row r="150" spans="1:20" ht="15.05" customHeight="1">
      <c r="A150" s="16"/>
      <c r="B150" s="17"/>
      <c r="C150" s="17"/>
      <c r="D150" s="1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29"/>
      <c r="P150" s="29"/>
      <c r="Q150" s="29"/>
      <c r="R150" s="29"/>
      <c r="S150" s="29"/>
      <c r="T150" s="29"/>
    </row>
    <row r="151" spans="1:20" ht="15.05" customHeight="1">
      <c r="A151" s="16"/>
      <c r="B151" s="17"/>
      <c r="C151" s="17"/>
      <c r="D151" s="1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29"/>
      <c r="P151" s="29"/>
      <c r="Q151" s="29"/>
      <c r="R151" s="29"/>
      <c r="S151" s="29"/>
      <c r="T151" s="29"/>
    </row>
    <row r="152" spans="1:20" ht="15.05" customHeight="1">
      <c r="A152" s="16"/>
      <c r="B152" s="17"/>
      <c r="C152" s="17"/>
      <c r="D152" s="1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29"/>
      <c r="P152" s="29"/>
      <c r="Q152" s="29"/>
      <c r="R152" s="29"/>
      <c r="S152" s="29"/>
      <c r="T152" s="29"/>
    </row>
    <row r="153" spans="1:20" ht="15.05" customHeight="1">
      <c r="A153" s="16"/>
      <c r="B153" s="17"/>
      <c r="C153" s="17"/>
      <c r="D153" s="1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29"/>
      <c r="P153" s="29"/>
      <c r="Q153" s="29"/>
      <c r="R153" s="29"/>
      <c r="S153" s="29"/>
      <c r="T153" s="29"/>
    </row>
    <row r="154" spans="1:20" ht="15.05" customHeight="1">
      <c r="A154" s="16"/>
      <c r="B154" s="17"/>
      <c r="C154" s="17"/>
      <c r="D154" s="1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29"/>
      <c r="P154" s="29"/>
      <c r="Q154" s="29"/>
      <c r="R154" s="29"/>
      <c r="S154" s="29"/>
      <c r="T154" s="29"/>
    </row>
    <row r="155" spans="1:20" ht="15.05" customHeight="1">
      <c r="A155" s="16"/>
      <c r="B155" s="17"/>
      <c r="C155" s="17"/>
      <c r="D155" s="1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29"/>
      <c r="P155" s="29"/>
      <c r="Q155" s="29"/>
      <c r="R155" s="29"/>
      <c r="S155" s="29"/>
      <c r="T155" s="29"/>
    </row>
    <row r="156" spans="1:20" ht="15.05" customHeight="1">
      <c r="A156" s="16"/>
      <c r="B156" s="17"/>
      <c r="C156" s="17"/>
      <c r="D156" s="1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29"/>
      <c r="P156" s="29"/>
      <c r="Q156" s="29"/>
      <c r="R156" s="29"/>
      <c r="S156" s="29"/>
      <c r="T156" s="29"/>
    </row>
    <row r="157" spans="1:20" ht="15.05" customHeight="1">
      <c r="A157" s="16"/>
      <c r="B157" s="17"/>
      <c r="C157" s="17"/>
      <c r="D157" s="1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29"/>
      <c r="P157" s="29"/>
      <c r="Q157" s="29"/>
      <c r="R157" s="29"/>
      <c r="S157" s="29"/>
      <c r="T157" s="29"/>
    </row>
    <row r="158" spans="1:20" ht="15.05" customHeight="1">
      <c r="A158" s="16"/>
      <c r="B158" s="17"/>
      <c r="C158" s="17"/>
      <c r="D158" s="1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29"/>
      <c r="P158" s="29"/>
      <c r="Q158" s="29"/>
      <c r="R158" s="29"/>
      <c r="S158" s="29"/>
      <c r="T158" s="29"/>
    </row>
    <row r="159" spans="1:20" ht="15.05" customHeight="1">
      <c r="A159" s="16"/>
      <c r="B159" s="17"/>
      <c r="C159" s="17"/>
      <c r="D159" s="1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29"/>
      <c r="P159" s="29"/>
      <c r="Q159" s="29"/>
      <c r="R159" s="29"/>
      <c r="S159" s="29"/>
      <c r="T159" s="29"/>
    </row>
    <row r="160" spans="1:20" ht="15.05" customHeight="1">
      <c r="A160" s="16"/>
      <c r="B160" s="17"/>
      <c r="C160" s="17"/>
      <c r="D160" s="1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29"/>
      <c r="P160" s="29"/>
      <c r="Q160" s="29"/>
      <c r="R160" s="29"/>
      <c r="S160" s="29"/>
      <c r="T160" s="29"/>
    </row>
    <row r="161" spans="1:20" ht="15.05" customHeight="1">
      <c r="A161" s="16"/>
      <c r="B161" s="17"/>
      <c r="C161" s="17"/>
      <c r="D161" s="1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29"/>
      <c r="P161" s="29"/>
      <c r="Q161" s="29"/>
      <c r="R161" s="29"/>
      <c r="S161" s="29"/>
      <c r="T161" s="29"/>
    </row>
    <row r="162" spans="1:20" ht="15.05" customHeight="1">
      <c r="A162" s="16"/>
      <c r="B162" s="17"/>
      <c r="C162" s="17"/>
      <c r="D162" s="1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29"/>
      <c r="P162" s="29"/>
      <c r="Q162" s="29"/>
      <c r="R162" s="29"/>
      <c r="S162" s="29"/>
      <c r="T162" s="29"/>
    </row>
    <row r="163" spans="1:20" ht="15.05" customHeight="1">
      <c r="A163" s="16"/>
      <c r="B163" s="17"/>
      <c r="C163" s="17"/>
      <c r="D163" s="1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29"/>
      <c r="P163" s="29"/>
      <c r="Q163" s="29"/>
      <c r="R163" s="29"/>
      <c r="S163" s="29"/>
      <c r="T163" s="29"/>
    </row>
    <row r="164" spans="1:20" ht="15.05" customHeight="1">
      <c r="A164" s="16"/>
      <c r="B164" s="17"/>
      <c r="C164" s="17"/>
      <c r="D164" s="1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29"/>
      <c r="P164" s="29"/>
      <c r="Q164" s="29"/>
      <c r="R164" s="29"/>
      <c r="S164" s="29"/>
      <c r="T164" s="29"/>
    </row>
    <row r="165" spans="1:20" ht="15.05" customHeight="1">
      <c r="A165" s="16"/>
      <c r="B165" s="17"/>
      <c r="C165" s="17"/>
      <c r="D165" s="1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29"/>
      <c r="P165" s="29"/>
      <c r="Q165" s="29"/>
      <c r="R165" s="29"/>
      <c r="S165" s="29"/>
      <c r="T165" s="29"/>
    </row>
    <row r="166" spans="1:20" ht="15.05" customHeight="1">
      <c r="A166" s="16"/>
      <c r="B166" s="17"/>
      <c r="C166" s="17"/>
      <c r="D166" s="1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29"/>
      <c r="P166" s="29"/>
      <c r="Q166" s="29"/>
      <c r="R166" s="29"/>
      <c r="S166" s="29"/>
      <c r="T166" s="29"/>
    </row>
    <row r="167" spans="1:20" ht="15.05" customHeight="1">
      <c r="A167" s="16"/>
      <c r="B167" s="17"/>
      <c r="C167" s="17"/>
      <c r="D167" s="1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29"/>
      <c r="P167" s="29"/>
      <c r="Q167" s="29"/>
      <c r="R167" s="29"/>
      <c r="S167" s="29"/>
      <c r="T167" s="29"/>
    </row>
    <row r="168" spans="1:20" ht="15.05" customHeight="1">
      <c r="A168" s="16"/>
      <c r="B168" s="17"/>
      <c r="C168" s="17"/>
      <c r="D168" s="1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29"/>
      <c r="P168" s="29"/>
      <c r="Q168" s="29"/>
      <c r="R168" s="29"/>
      <c r="S168" s="29"/>
      <c r="T168" s="29"/>
    </row>
    <row r="169" spans="1:20" ht="15.05" customHeight="1">
      <c r="A169" s="16"/>
      <c r="B169" s="17"/>
      <c r="C169" s="17"/>
      <c r="D169" s="1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29"/>
      <c r="P169" s="29"/>
      <c r="Q169" s="29"/>
      <c r="R169" s="29"/>
      <c r="S169" s="29"/>
      <c r="T169" s="29"/>
    </row>
    <row r="170" spans="1:20" ht="15.05" customHeight="1">
      <c r="A170" s="16"/>
      <c r="B170" s="17"/>
      <c r="C170" s="17"/>
      <c r="D170" s="1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9"/>
      <c r="P170" s="29"/>
      <c r="Q170" s="29"/>
      <c r="R170" s="29"/>
      <c r="S170" s="29"/>
      <c r="T170" s="29"/>
    </row>
    <row r="171" spans="1:20" ht="15.05" customHeight="1">
      <c r="A171" s="16"/>
      <c r="B171" s="17"/>
      <c r="C171" s="17"/>
      <c r="D171" s="1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29"/>
      <c r="P171" s="29"/>
      <c r="Q171" s="29"/>
      <c r="R171" s="29"/>
      <c r="S171" s="29"/>
      <c r="T171" s="29"/>
    </row>
    <row r="172" spans="1:20" ht="15.05" customHeight="1">
      <c r="A172" s="16"/>
      <c r="B172" s="17"/>
      <c r="C172" s="17"/>
      <c r="D172" s="1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29"/>
      <c r="P172" s="29"/>
      <c r="Q172" s="29"/>
      <c r="R172" s="29"/>
      <c r="S172" s="29"/>
      <c r="T172" s="29"/>
    </row>
    <row r="173" spans="1:20" ht="15.05" customHeight="1">
      <c r="A173" s="16"/>
      <c r="B173" s="17"/>
      <c r="C173" s="17"/>
      <c r="D173" s="1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29"/>
      <c r="P173" s="29"/>
      <c r="Q173" s="29"/>
      <c r="R173" s="29"/>
      <c r="S173" s="29"/>
      <c r="T173" s="29"/>
    </row>
    <row r="174" spans="1:20" ht="15.05" customHeight="1">
      <c r="A174" s="16"/>
      <c r="B174" s="17"/>
      <c r="C174" s="17"/>
      <c r="D174" s="1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29"/>
      <c r="P174" s="29"/>
      <c r="Q174" s="29"/>
      <c r="R174" s="29"/>
      <c r="S174" s="29"/>
      <c r="T174" s="29"/>
    </row>
    <row r="175" spans="1:20" ht="15.05" customHeight="1">
      <c r="A175" s="16"/>
      <c r="B175" s="17"/>
      <c r="C175" s="17"/>
      <c r="D175" s="1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29"/>
      <c r="P175" s="29"/>
      <c r="Q175" s="29"/>
      <c r="R175" s="29"/>
      <c r="S175" s="29"/>
      <c r="T175" s="29"/>
    </row>
    <row r="176" spans="1:20" ht="15.05" customHeight="1">
      <c r="A176" s="16"/>
      <c r="B176" s="17"/>
      <c r="C176" s="17"/>
      <c r="D176" s="1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29"/>
      <c r="P176" s="29"/>
      <c r="Q176" s="29"/>
      <c r="R176" s="29"/>
      <c r="S176" s="29"/>
      <c r="T176" s="29"/>
    </row>
    <row r="177" spans="1:20" ht="15.05" customHeight="1">
      <c r="A177" s="16"/>
      <c r="B177" s="17"/>
      <c r="C177" s="17"/>
      <c r="D177" s="1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29"/>
      <c r="P177" s="29"/>
      <c r="Q177" s="29"/>
      <c r="R177" s="29"/>
      <c r="S177" s="29"/>
      <c r="T177" s="29"/>
    </row>
    <row r="178" spans="1:20" ht="15.05" customHeight="1">
      <c r="A178" s="16"/>
      <c r="B178" s="17"/>
      <c r="C178" s="17"/>
      <c r="D178" s="1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29"/>
      <c r="P178" s="29"/>
      <c r="Q178" s="29"/>
      <c r="R178" s="29"/>
      <c r="S178" s="29"/>
      <c r="T178" s="29"/>
    </row>
    <row r="179" spans="1:20" ht="15.05" customHeight="1">
      <c r="A179" s="16"/>
      <c r="B179" s="17"/>
      <c r="C179" s="17"/>
      <c r="D179" s="1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29"/>
      <c r="P179" s="29"/>
      <c r="Q179" s="29"/>
      <c r="R179" s="29"/>
      <c r="S179" s="29"/>
      <c r="T179" s="29"/>
    </row>
    <row r="180" spans="1:20" ht="15.05" customHeight="1">
      <c r="A180" s="16"/>
      <c r="B180" s="17"/>
      <c r="C180" s="17"/>
      <c r="D180" s="1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29"/>
      <c r="P180" s="29"/>
      <c r="Q180" s="29"/>
      <c r="R180" s="29"/>
      <c r="S180" s="29"/>
      <c r="T180" s="29"/>
    </row>
    <row r="181" spans="1:20" ht="15.05" customHeight="1">
      <c r="A181" s="16"/>
      <c r="B181" s="17"/>
      <c r="C181" s="17"/>
      <c r="D181" s="1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29"/>
      <c r="P181" s="29"/>
      <c r="Q181" s="29"/>
      <c r="R181" s="29"/>
      <c r="S181" s="29"/>
      <c r="T181" s="29"/>
    </row>
    <row r="182" spans="1:20" ht="15.05" customHeight="1">
      <c r="A182" s="16"/>
      <c r="B182" s="17"/>
      <c r="C182" s="17"/>
      <c r="D182" s="1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29"/>
      <c r="P182" s="29"/>
      <c r="Q182" s="29"/>
      <c r="R182" s="29"/>
      <c r="S182" s="29"/>
      <c r="T182" s="29"/>
    </row>
    <row r="183" spans="1:20" ht="15.05" customHeight="1">
      <c r="A183" s="16"/>
      <c r="B183" s="17"/>
      <c r="C183" s="17"/>
      <c r="D183" s="1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29"/>
      <c r="P183" s="29"/>
      <c r="Q183" s="29"/>
      <c r="R183" s="29"/>
      <c r="S183" s="29"/>
      <c r="T183" s="29"/>
    </row>
    <row r="184" spans="1:20" ht="15.05" customHeight="1">
      <c r="A184" s="16"/>
      <c r="B184" s="17"/>
      <c r="C184" s="17"/>
      <c r="D184" s="1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29"/>
      <c r="P184" s="29"/>
      <c r="Q184" s="29"/>
      <c r="R184" s="29"/>
      <c r="S184" s="29"/>
      <c r="T184" s="29"/>
    </row>
    <row r="185" spans="1:20" ht="15.05" customHeight="1">
      <c r="A185" s="16"/>
      <c r="B185" s="17"/>
      <c r="C185" s="17"/>
      <c r="D185" s="1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29"/>
      <c r="P185" s="29"/>
      <c r="Q185" s="29"/>
      <c r="R185" s="29"/>
      <c r="S185" s="29"/>
      <c r="T185" s="29"/>
    </row>
    <row r="186" spans="1:20" ht="15.05" customHeight="1">
      <c r="A186" s="16"/>
      <c r="B186" s="17"/>
      <c r="C186" s="17"/>
      <c r="D186" s="1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29"/>
      <c r="P186" s="29"/>
      <c r="Q186" s="29"/>
      <c r="R186" s="29"/>
      <c r="S186" s="29"/>
      <c r="T186" s="29"/>
    </row>
    <row r="187" spans="1:20" ht="15.05" customHeight="1">
      <c r="A187" s="16"/>
      <c r="B187" s="17"/>
      <c r="C187" s="17"/>
      <c r="D187" s="1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29"/>
      <c r="P187" s="29"/>
      <c r="Q187" s="29"/>
      <c r="R187" s="29"/>
      <c r="S187" s="29"/>
      <c r="T187" s="29"/>
    </row>
    <row r="188" spans="1:20" ht="15.05" customHeight="1">
      <c r="A188" s="16"/>
      <c r="B188" s="17"/>
      <c r="C188" s="17"/>
      <c r="D188" s="1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29"/>
      <c r="P188" s="29"/>
      <c r="Q188" s="29"/>
      <c r="R188" s="29"/>
      <c r="S188" s="29"/>
      <c r="T188" s="29"/>
    </row>
    <row r="189" spans="1:20" ht="15.05" customHeight="1">
      <c r="A189" s="16"/>
      <c r="B189" s="17"/>
      <c r="C189" s="17"/>
      <c r="D189" s="1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29"/>
      <c r="P189" s="29"/>
      <c r="Q189" s="29"/>
      <c r="R189" s="29"/>
      <c r="S189" s="29"/>
      <c r="T189" s="29"/>
    </row>
    <row r="190" spans="1:20" ht="15.05" customHeight="1">
      <c r="A190" s="16"/>
      <c r="B190" s="17"/>
      <c r="C190" s="17"/>
      <c r="D190" s="1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29"/>
      <c r="P190" s="29"/>
      <c r="Q190" s="29"/>
      <c r="R190" s="29"/>
      <c r="S190" s="29"/>
      <c r="T190" s="29"/>
    </row>
    <row r="191" spans="1:20" ht="15.05" customHeight="1">
      <c r="A191" s="16"/>
      <c r="B191" s="17"/>
      <c r="C191" s="17"/>
      <c r="D191" s="1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29"/>
      <c r="P191" s="29"/>
      <c r="Q191" s="29"/>
      <c r="R191" s="29"/>
      <c r="S191" s="29"/>
      <c r="T191" s="29"/>
    </row>
    <row r="192" spans="1:20" ht="15.05" customHeight="1">
      <c r="A192" s="16"/>
      <c r="B192" s="17"/>
      <c r="C192" s="17"/>
      <c r="D192" s="1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29"/>
      <c r="P192" s="29"/>
      <c r="Q192" s="29"/>
      <c r="R192" s="29"/>
      <c r="S192" s="29"/>
      <c r="T192" s="29"/>
    </row>
    <row r="193" spans="1:20" ht="15.05" customHeight="1">
      <c r="A193" s="16"/>
      <c r="B193" s="17"/>
      <c r="C193" s="17"/>
      <c r="D193" s="1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29"/>
      <c r="P193" s="29"/>
      <c r="Q193" s="29"/>
      <c r="R193" s="29"/>
      <c r="S193" s="29"/>
      <c r="T193" s="29"/>
    </row>
    <row r="194" spans="1:20" ht="15.05" customHeight="1">
      <c r="A194" s="16"/>
      <c r="B194" s="17"/>
      <c r="C194" s="17"/>
      <c r="D194" s="1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29"/>
      <c r="P194" s="29"/>
      <c r="Q194" s="29"/>
      <c r="R194" s="29"/>
      <c r="S194" s="29"/>
      <c r="T194" s="29"/>
    </row>
    <row r="195" spans="1:20" ht="15.05" customHeight="1">
      <c r="A195" s="16"/>
      <c r="B195" s="17"/>
      <c r="C195" s="17"/>
      <c r="D195" s="1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29"/>
      <c r="P195" s="29"/>
      <c r="Q195" s="29"/>
      <c r="R195" s="29"/>
      <c r="S195" s="29"/>
      <c r="T195" s="29"/>
    </row>
    <row r="196" spans="1:20" ht="15.05" customHeight="1">
      <c r="A196" s="16"/>
      <c r="B196" s="17"/>
      <c r="C196" s="17"/>
      <c r="D196" s="1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29"/>
      <c r="P196" s="29"/>
      <c r="Q196" s="29"/>
      <c r="R196" s="29"/>
      <c r="S196" s="29"/>
      <c r="T196" s="29"/>
    </row>
    <row r="197" spans="1:20" ht="15.05" customHeight="1">
      <c r="A197" s="16"/>
      <c r="B197" s="17"/>
      <c r="C197" s="17"/>
      <c r="D197" s="1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29"/>
      <c r="P197" s="29"/>
      <c r="Q197" s="29"/>
      <c r="R197" s="29"/>
      <c r="S197" s="29"/>
      <c r="T197" s="29"/>
    </row>
    <row r="198" spans="1:20" ht="15.05" customHeight="1">
      <c r="A198" s="16"/>
      <c r="B198" s="17"/>
      <c r="C198" s="17"/>
      <c r="D198" s="1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29"/>
      <c r="P198" s="29"/>
      <c r="Q198" s="29"/>
      <c r="R198" s="29"/>
      <c r="S198" s="29"/>
      <c r="T198" s="29"/>
    </row>
    <row r="199" spans="1:20" ht="15.05" customHeight="1">
      <c r="A199" s="16"/>
      <c r="B199" s="17"/>
      <c r="C199" s="17"/>
      <c r="D199" s="1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29"/>
      <c r="P199" s="29"/>
      <c r="Q199" s="29"/>
      <c r="R199" s="29"/>
      <c r="S199" s="29"/>
      <c r="T199" s="29"/>
    </row>
    <row r="200" spans="1:20" ht="15.05" customHeight="1">
      <c r="A200" s="16"/>
      <c r="B200" s="17"/>
      <c r="C200" s="17"/>
      <c r="D200" s="1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29"/>
      <c r="P200" s="29"/>
      <c r="Q200" s="29"/>
      <c r="R200" s="29"/>
      <c r="S200" s="29"/>
      <c r="T200" s="29"/>
    </row>
    <row r="201" spans="1:20" ht="15.05" customHeight="1">
      <c r="A201" s="16"/>
      <c r="B201" s="17"/>
      <c r="C201" s="17"/>
      <c r="D201" s="1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29"/>
      <c r="P201" s="29"/>
      <c r="Q201" s="29"/>
      <c r="R201" s="29"/>
      <c r="S201" s="29"/>
      <c r="T201" s="29"/>
    </row>
    <row r="202" spans="1:20" ht="15.05" customHeight="1">
      <c r="A202" s="16"/>
      <c r="B202" s="17"/>
      <c r="C202" s="17"/>
      <c r="D202" s="1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29"/>
      <c r="P202" s="29"/>
      <c r="Q202" s="29"/>
      <c r="R202" s="29"/>
      <c r="S202" s="29"/>
      <c r="T202" s="29"/>
    </row>
    <row r="203" spans="1:20" ht="15.05" customHeight="1">
      <c r="A203" s="16"/>
      <c r="B203" s="17"/>
      <c r="C203" s="17"/>
      <c r="D203" s="1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29"/>
      <c r="P203" s="29"/>
      <c r="Q203" s="29"/>
      <c r="R203" s="29"/>
      <c r="S203" s="29"/>
      <c r="T203" s="29"/>
    </row>
    <row r="204" spans="1:20" ht="15.05" customHeight="1">
      <c r="A204" s="16"/>
      <c r="B204" s="17"/>
      <c r="C204" s="17"/>
      <c r="D204" s="1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29"/>
      <c r="P204" s="29"/>
      <c r="Q204" s="29"/>
      <c r="R204" s="29"/>
      <c r="S204" s="29"/>
      <c r="T204" s="29"/>
    </row>
    <row r="205" spans="1:20" ht="15.05" customHeight="1">
      <c r="A205" s="16"/>
      <c r="B205" s="17"/>
      <c r="C205" s="17"/>
      <c r="D205" s="1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29"/>
      <c r="P205" s="29"/>
      <c r="Q205" s="29"/>
      <c r="R205" s="29"/>
      <c r="S205" s="29"/>
      <c r="T205" s="29"/>
    </row>
    <row r="206" spans="1:20" ht="15.05" customHeight="1">
      <c r="A206" s="16"/>
      <c r="B206" s="17"/>
      <c r="C206" s="17"/>
      <c r="D206" s="1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29"/>
      <c r="P206" s="29"/>
      <c r="Q206" s="29"/>
      <c r="R206" s="29"/>
      <c r="S206" s="29"/>
      <c r="T206" s="29"/>
    </row>
    <row r="207" spans="1:20" ht="15.05" customHeight="1">
      <c r="A207" s="16"/>
      <c r="B207" s="17"/>
      <c r="C207" s="17"/>
      <c r="D207" s="1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29"/>
      <c r="P207" s="29"/>
      <c r="Q207" s="29"/>
      <c r="R207" s="29"/>
      <c r="S207" s="29"/>
      <c r="T207" s="29"/>
    </row>
    <row r="208" spans="1:20" ht="15.05" customHeight="1">
      <c r="A208" s="16"/>
      <c r="B208" s="17"/>
      <c r="C208" s="17"/>
      <c r="D208" s="1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29"/>
      <c r="P208" s="29"/>
      <c r="Q208" s="29"/>
      <c r="R208" s="29"/>
      <c r="S208" s="29"/>
      <c r="T208" s="29"/>
    </row>
    <row r="209" spans="1:20" ht="15.05" customHeight="1">
      <c r="A209" s="16"/>
      <c r="B209" s="17"/>
      <c r="C209" s="17"/>
      <c r="D209" s="1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29"/>
      <c r="P209" s="29"/>
      <c r="Q209" s="29"/>
      <c r="R209" s="29"/>
      <c r="S209" s="29"/>
      <c r="T209" s="29"/>
    </row>
    <row r="210" spans="1:20" ht="15.05" customHeight="1">
      <c r="A210" s="16"/>
      <c r="B210" s="17"/>
      <c r="C210" s="17"/>
      <c r="D210" s="1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29"/>
      <c r="P210" s="29"/>
      <c r="Q210" s="29"/>
      <c r="R210" s="29"/>
      <c r="S210" s="29"/>
      <c r="T210" s="29"/>
    </row>
    <row r="211" spans="1:20" ht="15.05" customHeight="1">
      <c r="A211" s="16"/>
      <c r="B211" s="17"/>
      <c r="C211" s="17"/>
      <c r="D211" s="1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29"/>
      <c r="P211" s="29"/>
      <c r="Q211" s="29"/>
      <c r="R211" s="29"/>
      <c r="S211" s="29"/>
      <c r="T211" s="29"/>
    </row>
    <row r="212" spans="1:20" ht="15.05" customHeight="1">
      <c r="A212" s="16"/>
      <c r="B212" s="17"/>
      <c r="C212" s="17"/>
      <c r="D212" s="1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29"/>
      <c r="P212" s="29"/>
      <c r="Q212" s="29"/>
      <c r="R212" s="29"/>
      <c r="S212" s="29"/>
      <c r="T212" s="29"/>
    </row>
    <row r="213" spans="1:20" ht="15.05" customHeight="1">
      <c r="A213" s="16"/>
      <c r="B213" s="17"/>
      <c r="C213" s="17"/>
      <c r="D213" s="1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29"/>
      <c r="P213" s="29"/>
      <c r="Q213" s="29"/>
      <c r="R213" s="29"/>
      <c r="S213" s="29"/>
      <c r="T213" s="29"/>
    </row>
    <row r="214" spans="1:20" ht="15.05" customHeight="1">
      <c r="A214" s="16"/>
      <c r="B214" s="17"/>
      <c r="C214" s="17"/>
      <c r="D214" s="1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29"/>
      <c r="P214" s="29"/>
      <c r="Q214" s="29"/>
      <c r="R214" s="29"/>
      <c r="S214" s="29"/>
      <c r="T214" s="29"/>
    </row>
    <row r="215" spans="1:20" ht="15.05" customHeight="1">
      <c r="A215" s="16"/>
      <c r="B215" s="17"/>
      <c r="C215" s="17"/>
      <c r="D215" s="1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29"/>
      <c r="P215" s="29"/>
      <c r="Q215" s="29"/>
      <c r="R215" s="29"/>
      <c r="S215" s="29"/>
      <c r="T215" s="29"/>
    </row>
    <row r="216" spans="1:20" ht="15.05" customHeight="1">
      <c r="A216" s="16"/>
      <c r="B216" s="17"/>
      <c r="C216" s="17"/>
      <c r="D216" s="1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29"/>
      <c r="P216" s="29"/>
      <c r="Q216" s="29"/>
      <c r="R216" s="29"/>
      <c r="S216" s="29"/>
      <c r="T216" s="29"/>
    </row>
    <row r="217" spans="1:20" ht="15.05" customHeight="1">
      <c r="A217" s="16"/>
      <c r="B217" s="17"/>
      <c r="C217" s="17"/>
      <c r="D217" s="1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29"/>
      <c r="P217" s="29"/>
      <c r="Q217" s="29"/>
      <c r="R217" s="29"/>
      <c r="S217" s="29"/>
      <c r="T217" s="29"/>
    </row>
    <row r="218" spans="1:20" ht="15.05" customHeight="1">
      <c r="A218" s="16"/>
      <c r="B218" s="17"/>
      <c r="C218" s="17"/>
      <c r="D218" s="1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29"/>
      <c r="P218" s="29"/>
      <c r="Q218" s="29"/>
      <c r="R218" s="29"/>
      <c r="S218" s="29"/>
      <c r="T218" s="29"/>
    </row>
    <row r="219" spans="1:20" ht="15.05" customHeight="1">
      <c r="A219" s="16"/>
      <c r="B219" s="17"/>
      <c r="C219" s="17"/>
      <c r="D219" s="1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29"/>
      <c r="P219" s="29"/>
      <c r="Q219" s="29"/>
      <c r="R219" s="29"/>
      <c r="S219" s="29"/>
      <c r="T219" s="29"/>
    </row>
    <row r="220" spans="1:20" ht="15.05" customHeight="1">
      <c r="A220" s="16"/>
      <c r="B220" s="17"/>
      <c r="C220" s="17"/>
      <c r="D220" s="1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29"/>
      <c r="P220" s="29"/>
      <c r="Q220" s="29"/>
      <c r="R220" s="29"/>
      <c r="S220" s="29"/>
      <c r="T220" s="29"/>
    </row>
    <row r="221" spans="1:20" ht="15.05" customHeight="1">
      <c r="A221" s="16"/>
      <c r="B221" s="17"/>
      <c r="C221" s="17"/>
      <c r="D221" s="1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29"/>
      <c r="P221" s="29"/>
      <c r="Q221" s="29"/>
      <c r="R221" s="29"/>
      <c r="S221" s="29"/>
      <c r="T221" s="29"/>
    </row>
    <row r="222" spans="1:20" ht="15.05" customHeight="1">
      <c r="A222" s="16"/>
      <c r="B222" s="17"/>
      <c r="C222" s="17"/>
      <c r="D222" s="1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29"/>
      <c r="P222" s="29"/>
      <c r="Q222" s="29"/>
      <c r="R222" s="29"/>
      <c r="S222" s="29"/>
      <c r="T222" s="29"/>
    </row>
    <row r="223" spans="1:20" ht="15.05" customHeight="1">
      <c r="A223" s="16"/>
      <c r="B223" s="17"/>
      <c r="C223" s="17"/>
      <c r="D223" s="1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29"/>
      <c r="P223" s="29"/>
      <c r="Q223" s="29"/>
      <c r="R223" s="29"/>
      <c r="S223" s="29"/>
      <c r="T223" s="29"/>
    </row>
    <row r="224" spans="1:20" ht="15.05" customHeight="1">
      <c r="A224" s="16"/>
      <c r="B224" s="17"/>
      <c r="C224" s="17"/>
      <c r="D224" s="1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29"/>
      <c r="P224" s="29"/>
      <c r="Q224" s="29"/>
      <c r="R224" s="29"/>
      <c r="S224" s="29"/>
      <c r="T224" s="29"/>
    </row>
    <row r="225" spans="1:20" ht="15.05" customHeight="1">
      <c r="A225" s="16"/>
      <c r="B225" s="17"/>
      <c r="C225" s="17"/>
      <c r="D225" s="1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29"/>
      <c r="P225" s="29"/>
      <c r="Q225" s="29"/>
      <c r="R225" s="29"/>
      <c r="S225" s="29"/>
      <c r="T225" s="29"/>
    </row>
    <row r="226" spans="1:20" ht="15.05" customHeight="1">
      <c r="A226" s="16"/>
      <c r="B226" s="17"/>
      <c r="C226" s="17"/>
      <c r="D226" s="1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29"/>
      <c r="P226" s="29"/>
      <c r="Q226" s="29"/>
      <c r="R226" s="29"/>
      <c r="S226" s="29"/>
      <c r="T226" s="29"/>
    </row>
    <row r="227" spans="1:20" ht="15.05" customHeight="1">
      <c r="A227" s="16"/>
      <c r="B227" s="17"/>
      <c r="C227" s="17"/>
      <c r="D227" s="1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29"/>
      <c r="P227" s="29"/>
      <c r="Q227" s="29"/>
      <c r="R227" s="29"/>
      <c r="S227" s="29"/>
      <c r="T227" s="29"/>
    </row>
    <row r="228" spans="1:20" ht="15.05" customHeight="1">
      <c r="A228" s="16"/>
      <c r="B228" s="17"/>
      <c r="C228" s="17"/>
      <c r="D228" s="1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29"/>
      <c r="P228" s="29"/>
      <c r="Q228" s="29"/>
      <c r="R228" s="29"/>
      <c r="S228" s="29"/>
      <c r="T228" s="29"/>
    </row>
    <row r="229" spans="1:20" ht="15.05" customHeight="1">
      <c r="A229" s="16"/>
      <c r="B229" s="17"/>
      <c r="C229" s="17"/>
      <c r="D229" s="1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29"/>
      <c r="P229" s="29"/>
      <c r="Q229" s="29"/>
      <c r="R229" s="29"/>
      <c r="S229" s="29"/>
      <c r="T229" s="29"/>
    </row>
    <row r="230" spans="1:20" ht="15.05" customHeight="1">
      <c r="A230" s="16"/>
      <c r="B230" s="17"/>
      <c r="C230" s="17"/>
      <c r="D230" s="1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29"/>
      <c r="P230" s="29"/>
      <c r="Q230" s="29"/>
      <c r="R230" s="29"/>
      <c r="S230" s="29"/>
      <c r="T230" s="29"/>
    </row>
    <row r="231" spans="1:20" ht="15.05" customHeight="1">
      <c r="A231" s="16"/>
      <c r="B231" s="17"/>
      <c r="C231" s="17"/>
      <c r="D231" s="1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29"/>
      <c r="P231" s="29"/>
      <c r="Q231" s="29"/>
      <c r="R231" s="29"/>
      <c r="S231" s="29"/>
      <c r="T231" s="29"/>
    </row>
    <row r="232" spans="1:20" ht="15.05" customHeight="1">
      <c r="A232" s="16"/>
      <c r="B232" s="17"/>
      <c r="C232" s="17"/>
      <c r="D232" s="1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29"/>
      <c r="P232" s="29"/>
      <c r="Q232" s="29"/>
      <c r="R232" s="29"/>
      <c r="S232" s="29"/>
      <c r="T232" s="29"/>
    </row>
    <row r="233" spans="1:20" ht="15.05" customHeight="1">
      <c r="A233" s="16"/>
      <c r="B233" s="17"/>
      <c r="C233" s="17"/>
      <c r="D233" s="1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29"/>
      <c r="P233" s="29"/>
      <c r="Q233" s="29"/>
      <c r="R233" s="29"/>
      <c r="S233" s="29"/>
      <c r="T233" s="29"/>
    </row>
    <row r="234" spans="1:20" ht="15.05" customHeight="1">
      <c r="A234" s="16"/>
      <c r="B234" s="17"/>
      <c r="C234" s="17"/>
      <c r="D234" s="1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29"/>
      <c r="P234" s="29"/>
      <c r="Q234" s="29"/>
      <c r="R234" s="29"/>
      <c r="S234" s="29"/>
      <c r="T234" s="29"/>
    </row>
    <row r="235" spans="1:20" ht="15.05" customHeight="1">
      <c r="A235" s="16"/>
      <c r="B235" s="17"/>
      <c r="C235" s="17"/>
      <c r="D235" s="1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29"/>
      <c r="P235" s="29"/>
      <c r="Q235" s="29"/>
      <c r="R235" s="29"/>
      <c r="S235" s="29"/>
      <c r="T235" s="29"/>
    </row>
    <row r="236" spans="1:20" ht="15.05" customHeight="1">
      <c r="A236" s="16"/>
      <c r="B236" s="17"/>
      <c r="C236" s="17"/>
      <c r="D236" s="1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29"/>
      <c r="P236" s="29"/>
      <c r="Q236" s="29"/>
      <c r="R236" s="29"/>
      <c r="S236" s="29"/>
      <c r="T236" s="29"/>
    </row>
    <row r="237" spans="1:20" ht="15.05" customHeight="1">
      <c r="A237" s="16"/>
      <c r="B237" s="17"/>
      <c r="C237" s="17"/>
      <c r="D237" s="1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29"/>
      <c r="P237" s="29"/>
      <c r="Q237" s="29"/>
      <c r="R237" s="29"/>
      <c r="S237" s="29"/>
      <c r="T237" s="29"/>
    </row>
    <row r="238" spans="1:20" ht="15.05" customHeight="1">
      <c r="A238" s="16"/>
      <c r="B238" s="17"/>
      <c r="C238" s="17"/>
      <c r="D238" s="1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29"/>
      <c r="P238" s="29"/>
      <c r="Q238" s="29"/>
      <c r="R238" s="29"/>
      <c r="S238" s="29"/>
      <c r="T238" s="29"/>
    </row>
    <row r="239" spans="1:20" ht="15.05" customHeight="1">
      <c r="A239" s="16"/>
      <c r="B239" s="17"/>
      <c r="C239" s="17"/>
      <c r="D239" s="1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29"/>
      <c r="P239" s="29"/>
      <c r="Q239" s="29"/>
      <c r="R239" s="29"/>
      <c r="S239" s="29"/>
      <c r="T239" s="29"/>
    </row>
    <row r="240" spans="1:20" ht="15.05" customHeight="1">
      <c r="A240" s="16"/>
      <c r="B240" s="17"/>
      <c r="C240" s="17"/>
      <c r="D240" s="1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29"/>
      <c r="P240" s="29"/>
      <c r="Q240" s="29"/>
      <c r="R240" s="29"/>
      <c r="S240" s="29"/>
      <c r="T240" s="29"/>
    </row>
    <row r="241" spans="1:20" ht="15.05" customHeight="1">
      <c r="A241" s="16"/>
      <c r="B241" s="17"/>
      <c r="C241" s="17"/>
      <c r="D241" s="1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29"/>
      <c r="P241" s="29"/>
      <c r="Q241" s="29"/>
      <c r="R241" s="29"/>
      <c r="S241" s="29"/>
      <c r="T241" s="29"/>
    </row>
    <row r="242" spans="1:20" ht="15.05" customHeight="1">
      <c r="A242" s="16"/>
      <c r="B242" s="17"/>
      <c r="C242" s="17"/>
      <c r="D242" s="1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29"/>
      <c r="P242" s="29"/>
      <c r="Q242" s="29"/>
      <c r="R242" s="29"/>
      <c r="S242" s="29"/>
      <c r="T242" s="29"/>
    </row>
    <row r="243" spans="1:20" ht="15.05" customHeight="1">
      <c r="A243" s="16"/>
      <c r="B243" s="17"/>
      <c r="C243" s="17"/>
      <c r="D243" s="1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29"/>
      <c r="P243" s="29"/>
      <c r="Q243" s="29"/>
      <c r="R243" s="29"/>
      <c r="S243" s="29"/>
      <c r="T243" s="29"/>
    </row>
    <row r="244" spans="1:20" ht="15.05" customHeight="1">
      <c r="A244" s="16"/>
      <c r="B244" s="17"/>
      <c r="C244" s="17"/>
      <c r="D244" s="1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29"/>
      <c r="P244" s="29"/>
      <c r="Q244" s="29"/>
      <c r="R244" s="29"/>
      <c r="S244" s="29"/>
      <c r="T244" s="29"/>
    </row>
    <row r="245" spans="1:20" ht="15.05" customHeight="1">
      <c r="A245" s="16"/>
      <c r="B245" s="17"/>
      <c r="C245" s="17"/>
      <c r="D245" s="1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29"/>
      <c r="P245" s="29"/>
      <c r="Q245" s="29"/>
      <c r="R245" s="29"/>
      <c r="S245" s="29"/>
      <c r="T245" s="29"/>
    </row>
    <row r="246" spans="1:20" ht="15.05" customHeight="1">
      <c r="A246" s="16"/>
      <c r="B246" s="17"/>
      <c r="C246" s="17"/>
      <c r="D246" s="1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29"/>
      <c r="P246" s="29"/>
      <c r="Q246" s="29"/>
      <c r="R246" s="29"/>
      <c r="S246" s="29"/>
      <c r="T246" s="29"/>
    </row>
    <row r="247" spans="1:20" ht="15.05" customHeight="1">
      <c r="A247" s="16"/>
      <c r="B247" s="17"/>
      <c r="C247" s="17"/>
      <c r="D247" s="1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29"/>
      <c r="P247" s="29"/>
      <c r="Q247" s="29"/>
      <c r="R247" s="29"/>
      <c r="S247" s="29"/>
      <c r="T247" s="29"/>
    </row>
    <row r="248" spans="1:20" ht="15.05" customHeight="1">
      <c r="A248" s="16"/>
      <c r="B248" s="17"/>
      <c r="C248" s="17"/>
      <c r="D248" s="1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29"/>
      <c r="P248" s="29"/>
      <c r="Q248" s="29"/>
      <c r="R248" s="29"/>
      <c r="S248" s="29"/>
      <c r="T248" s="29"/>
    </row>
    <row r="249" spans="1:20" ht="15.05" customHeight="1">
      <c r="A249" s="16"/>
      <c r="B249" s="17"/>
      <c r="C249" s="17"/>
      <c r="D249" s="1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29"/>
      <c r="P249" s="29"/>
      <c r="Q249" s="29"/>
      <c r="R249" s="29"/>
      <c r="S249" s="29"/>
      <c r="T249" s="29"/>
    </row>
    <row r="250" spans="1:20" ht="15.05" customHeight="1">
      <c r="A250" s="16"/>
      <c r="B250" s="17"/>
      <c r="C250" s="17"/>
      <c r="D250" s="1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29"/>
      <c r="P250" s="29"/>
      <c r="Q250" s="29"/>
      <c r="R250" s="29"/>
      <c r="S250" s="29"/>
      <c r="T250" s="29"/>
    </row>
    <row r="251" spans="1:20" ht="15.05" customHeight="1">
      <c r="A251" s="16"/>
      <c r="B251" s="17"/>
      <c r="C251" s="17"/>
      <c r="D251" s="1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29"/>
      <c r="P251" s="29"/>
      <c r="Q251" s="29"/>
      <c r="R251" s="29"/>
      <c r="S251" s="29"/>
      <c r="T251" s="29"/>
    </row>
    <row r="252" spans="1:20" ht="15.05" customHeight="1">
      <c r="A252" s="16"/>
      <c r="B252" s="17"/>
      <c r="C252" s="17"/>
      <c r="D252" s="1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29"/>
      <c r="P252" s="29"/>
      <c r="Q252" s="29"/>
      <c r="R252" s="29"/>
      <c r="S252" s="29"/>
      <c r="T252" s="29"/>
    </row>
    <row r="253" spans="1:20" ht="15.05" customHeight="1">
      <c r="A253" s="16"/>
      <c r="B253" s="17"/>
      <c r="C253" s="17"/>
      <c r="D253" s="1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29"/>
      <c r="P253" s="29"/>
      <c r="Q253" s="29"/>
      <c r="R253" s="29"/>
      <c r="S253" s="29"/>
      <c r="T253" s="29"/>
    </row>
    <row r="254" spans="1:20" ht="15.05" customHeight="1">
      <c r="A254" s="16"/>
      <c r="B254" s="17"/>
      <c r="C254" s="17"/>
      <c r="D254" s="1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29"/>
      <c r="P254" s="29"/>
      <c r="Q254" s="29"/>
      <c r="R254" s="29"/>
      <c r="S254" s="29"/>
      <c r="T254" s="29"/>
    </row>
    <row r="255" spans="1:20" ht="15.05" customHeight="1">
      <c r="A255" s="16"/>
      <c r="B255" s="17"/>
      <c r="C255" s="17"/>
      <c r="D255" s="1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29"/>
      <c r="P255" s="29"/>
      <c r="Q255" s="29"/>
      <c r="R255" s="29"/>
      <c r="S255" s="29"/>
      <c r="T255" s="29"/>
    </row>
    <row r="256" spans="1:20" ht="15.05" customHeight="1">
      <c r="A256" s="16"/>
      <c r="B256" s="17"/>
      <c r="C256" s="17"/>
      <c r="D256" s="1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29"/>
      <c r="P256" s="29"/>
      <c r="Q256" s="29"/>
      <c r="R256" s="29"/>
      <c r="S256" s="29"/>
      <c r="T256" s="29"/>
    </row>
    <row r="257" spans="1:20" ht="15.05" customHeight="1">
      <c r="A257" s="16"/>
      <c r="B257" s="17"/>
      <c r="C257" s="17"/>
      <c r="D257" s="1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29"/>
      <c r="P257" s="29"/>
      <c r="Q257" s="29"/>
      <c r="R257" s="29"/>
      <c r="S257" s="29"/>
      <c r="T257" s="29"/>
    </row>
    <row r="258" spans="1:20" ht="15.05" customHeight="1">
      <c r="A258" s="16"/>
      <c r="B258" s="17"/>
      <c r="C258" s="17"/>
      <c r="D258" s="1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29"/>
      <c r="P258" s="29"/>
      <c r="Q258" s="29"/>
      <c r="R258" s="29"/>
      <c r="S258" s="29"/>
      <c r="T258" s="29"/>
    </row>
    <row r="259" spans="1:20" ht="15.05" customHeight="1">
      <c r="A259" s="16"/>
      <c r="B259" s="17"/>
      <c r="C259" s="17"/>
      <c r="D259" s="1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29"/>
      <c r="P259" s="29"/>
      <c r="Q259" s="29"/>
      <c r="R259" s="29"/>
      <c r="S259" s="29"/>
      <c r="T259" s="29"/>
    </row>
    <row r="260" spans="1:20" ht="15.05" customHeight="1">
      <c r="A260" s="16"/>
      <c r="B260" s="17"/>
      <c r="C260" s="17"/>
      <c r="D260" s="1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29"/>
      <c r="P260" s="29"/>
      <c r="Q260" s="29"/>
      <c r="R260" s="29"/>
      <c r="S260" s="29"/>
      <c r="T260" s="29"/>
    </row>
    <row r="261" spans="1:20" ht="15.05" customHeight="1">
      <c r="A261" s="16"/>
      <c r="B261" s="17"/>
      <c r="C261" s="17"/>
      <c r="D261" s="1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29"/>
      <c r="P261" s="29"/>
      <c r="Q261" s="29"/>
      <c r="R261" s="29"/>
      <c r="S261" s="29"/>
      <c r="T261" s="29"/>
    </row>
    <row r="262" spans="1:20" ht="15.05" customHeight="1">
      <c r="A262" s="16"/>
      <c r="B262" s="17"/>
      <c r="C262" s="17"/>
      <c r="D262" s="1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29"/>
      <c r="P262" s="29"/>
      <c r="Q262" s="29"/>
      <c r="R262" s="29"/>
      <c r="S262" s="29"/>
      <c r="T262" s="29"/>
    </row>
    <row r="263" spans="1:20" ht="15.05" customHeight="1">
      <c r="A263" s="16"/>
      <c r="B263" s="17"/>
      <c r="C263" s="17"/>
      <c r="D263" s="1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29"/>
      <c r="P263" s="29"/>
      <c r="Q263" s="29"/>
      <c r="R263" s="29"/>
      <c r="S263" s="29"/>
      <c r="T263" s="29"/>
    </row>
    <row r="264" spans="1:20" ht="15.05" customHeight="1">
      <c r="A264" s="16"/>
      <c r="B264" s="17"/>
      <c r="C264" s="17"/>
      <c r="D264" s="1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29"/>
      <c r="P264" s="29"/>
      <c r="Q264" s="29"/>
      <c r="R264" s="29"/>
      <c r="S264" s="29"/>
      <c r="T264" s="29"/>
    </row>
    <row r="265" spans="1:20" ht="15.05" customHeight="1">
      <c r="A265" s="16"/>
      <c r="B265" s="17"/>
      <c r="C265" s="17"/>
      <c r="D265" s="1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29"/>
      <c r="P265" s="29"/>
      <c r="Q265" s="29"/>
      <c r="R265" s="29"/>
      <c r="S265" s="29"/>
      <c r="T265" s="29"/>
    </row>
    <row r="266" spans="1:20" ht="15.05" customHeight="1">
      <c r="A266" s="16"/>
      <c r="B266" s="17"/>
      <c r="C266" s="17"/>
      <c r="D266" s="1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29"/>
      <c r="P266" s="29"/>
      <c r="Q266" s="29"/>
      <c r="R266" s="29"/>
      <c r="S266" s="29"/>
      <c r="T266" s="29"/>
    </row>
    <row r="267" spans="1:20" ht="15.05" customHeight="1">
      <c r="A267" s="16"/>
      <c r="B267" s="17"/>
      <c r="C267" s="17"/>
      <c r="D267" s="1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29"/>
      <c r="P267" s="29"/>
      <c r="Q267" s="29"/>
      <c r="R267" s="29"/>
      <c r="S267" s="29"/>
      <c r="T267" s="29"/>
    </row>
    <row r="268" spans="1:20" ht="15.05" customHeight="1">
      <c r="A268" s="16"/>
      <c r="B268" s="17"/>
      <c r="C268" s="17"/>
      <c r="D268" s="1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29"/>
      <c r="P268" s="29"/>
      <c r="Q268" s="29"/>
      <c r="R268" s="29"/>
      <c r="S268" s="29"/>
      <c r="T268" s="29"/>
    </row>
    <row r="269" spans="1:20" ht="15.05" customHeight="1">
      <c r="A269" s="16"/>
      <c r="B269" s="17"/>
      <c r="C269" s="17"/>
      <c r="D269" s="1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29"/>
      <c r="P269" s="29"/>
      <c r="Q269" s="29"/>
      <c r="R269" s="29"/>
      <c r="S269" s="29"/>
      <c r="T269" s="29"/>
    </row>
    <row r="270" spans="1:20" ht="15.05" customHeight="1">
      <c r="A270" s="16"/>
      <c r="B270" s="17"/>
      <c r="C270" s="17"/>
      <c r="D270" s="1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29"/>
      <c r="P270" s="29"/>
      <c r="Q270" s="29"/>
      <c r="R270" s="29"/>
      <c r="S270" s="29"/>
      <c r="T270" s="29"/>
    </row>
    <row r="271" spans="1:20" ht="15.05" customHeight="1">
      <c r="A271" s="16"/>
      <c r="B271" s="17"/>
      <c r="C271" s="17"/>
      <c r="D271" s="1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29"/>
      <c r="P271" s="29"/>
      <c r="Q271" s="29"/>
      <c r="R271" s="29"/>
      <c r="S271" s="29"/>
      <c r="T271" s="29"/>
    </row>
    <row r="272" spans="1:20" ht="15.05" customHeight="1">
      <c r="A272" s="16"/>
      <c r="B272" s="17"/>
      <c r="C272" s="17"/>
      <c r="D272" s="1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29"/>
      <c r="P272" s="29"/>
      <c r="Q272" s="29"/>
      <c r="R272" s="29"/>
      <c r="S272" s="29"/>
      <c r="T272" s="29"/>
    </row>
    <row r="273" spans="1:20" ht="15.05" customHeight="1">
      <c r="A273" s="16"/>
      <c r="B273" s="17"/>
      <c r="C273" s="17"/>
      <c r="D273" s="1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29"/>
      <c r="P273" s="29"/>
      <c r="Q273" s="29"/>
      <c r="R273" s="29"/>
      <c r="S273" s="29"/>
      <c r="T273" s="29"/>
    </row>
    <row r="274" spans="1:20" ht="15.05" customHeight="1">
      <c r="A274" s="16"/>
      <c r="B274" s="17"/>
      <c r="C274" s="17"/>
      <c r="D274" s="1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29"/>
      <c r="P274" s="29"/>
      <c r="Q274" s="29"/>
      <c r="R274" s="29"/>
      <c r="S274" s="29"/>
      <c r="T274" s="29"/>
    </row>
    <row r="275" spans="1:20" ht="15.05" customHeight="1">
      <c r="A275" s="16"/>
      <c r="B275" s="17"/>
      <c r="C275" s="17"/>
      <c r="D275" s="1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29"/>
      <c r="P275" s="29"/>
      <c r="Q275" s="29"/>
      <c r="R275" s="29"/>
      <c r="S275" s="29"/>
      <c r="T275" s="29"/>
    </row>
    <row r="276" spans="1:20" ht="15.05" customHeight="1">
      <c r="A276" s="16"/>
      <c r="B276" s="17"/>
      <c r="C276" s="17"/>
      <c r="D276" s="1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29"/>
      <c r="P276" s="29"/>
      <c r="Q276" s="29"/>
      <c r="R276" s="29"/>
      <c r="S276" s="29"/>
      <c r="T276" s="29"/>
    </row>
    <row r="277" spans="1:20" ht="15.05" customHeight="1">
      <c r="A277" s="16"/>
      <c r="B277" s="17"/>
      <c r="C277" s="17"/>
      <c r="D277" s="1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29"/>
      <c r="P277" s="29"/>
      <c r="Q277" s="29"/>
      <c r="R277" s="29"/>
      <c r="S277" s="29"/>
      <c r="T277" s="29"/>
    </row>
    <row r="278" spans="1:20" ht="15.05" customHeight="1">
      <c r="A278" s="16"/>
      <c r="B278" s="17"/>
      <c r="C278" s="17"/>
      <c r="D278" s="1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29"/>
      <c r="P278" s="29"/>
      <c r="Q278" s="29"/>
      <c r="R278" s="29"/>
      <c r="S278" s="29"/>
      <c r="T278" s="29"/>
    </row>
    <row r="279" spans="1:20" ht="15.05" customHeight="1">
      <c r="A279" s="16"/>
      <c r="B279" s="17"/>
      <c r="C279" s="17"/>
      <c r="D279" s="1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29"/>
      <c r="P279" s="29"/>
      <c r="Q279" s="29"/>
      <c r="R279" s="29"/>
      <c r="S279" s="29"/>
      <c r="T279" s="29"/>
    </row>
    <row r="280" spans="1:20" ht="15.05" customHeight="1">
      <c r="A280" s="16"/>
      <c r="B280" s="17"/>
      <c r="C280" s="17"/>
      <c r="D280" s="1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29"/>
      <c r="P280" s="29"/>
      <c r="Q280" s="29"/>
      <c r="R280" s="29"/>
      <c r="S280" s="29"/>
      <c r="T280" s="29"/>
    </row>
    <row r="281" spans="1:20" ht="15.05" customHeight="1">
      <c r="A281" s="16"/>
      <c r="B281" s="17"/>
      <c r="C281" s="17"/>
      <c r="D281" s="1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29"/>
      <c r="P281" s="29"/>
      <c r="Q281" s="29"/>
      <c r="R281" s="29"/>
      <c r="S281" s="29"/>
      <c r="T281" s="29"/>
    </row>
    <row r="282" spans="1:20" ht="15.05" customHeight="1">
      <c r="A282" s="16"/>
      <c r="B282" s="17"/>
      <c r="C282" s="17"/>
      <c r="D282" s="1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29"/>
      <c r="P282" s="29"/>
      <c r="Q282" s="29"/>
      <c r="R282" s="29"/>
      <c r="S282" s="29"/>
      <c r="T282" s="29"/>
    </row>
    <row r="283" spans="1:20" ht="15.05" customHeight="1">
      <c r="A283" s="16"/>
      <c r="B283" s="17"/>
      <c r="C283" s="17"/>
      <c r="D283" s="1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29"/>
      <c r="P283" s="29"/>
      <c r="Q283" s="29"/>
      <c r="R283" s="29"/>
      <c r="S283" s="29"/>
      <c r="T283" s="29"/>
    </row>
    <row r="284" spans="1:20" ht="15.05" customHeight="1">
      <c r="A284" s="16"/>
      <c r="B284" s="17"/>
      <c r="C284" s="17"/>
      <c r="D284" s="1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29"/>
      <c r="P284" s="29"/>
      <c r="Q284" s="29"/>
      <c r="R284" s="29"/>
      <c r="S284" s="29"/>
      <c r="T284" s="29"/>
    </row>
    <row r="285" spans="1:20" ht="15.05" customHeight="1">
      <c r="A285" s="16"/>
      <c r="B285" s="17"/>
      <c r="C285" s="17"/>
      <c r="D285" s="1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29"/>
      <c r="P285" s="29"/>
      <c r="Q285" s="29"/>
      <c r="R285" s="29"/>
      <c r="S285" s="29"/>
      <c r="T285" s="29"/>
    </row>
    <row r="286" spans="1:20" ht="15.05" customHeight="1">
      <c r="A286" s="16"/>
      <c r="B286" s="17"/>
      <c r="C286" s="17"/>
      <c r="D286" s="1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29"/>
      <c r="P286" s="29"/>
      <c r="Q286" s="29"/>
      <c r="R286" s="29"/>
      <c r="S286" s="29"/>
      <c r="T286" s="29"/>
    </row>
    <row r="287" spans="1:20" ht="15.05" customHeight="1">
      <c r="A287" s="16"/>
      <c r="B287" s="17"/>
      <c r="C287" s="17"/>
      <c r="D287" s="1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29"/>
      <c r="P287" s="29"/>
      <c r="Q287" s="29"/>
      <c r="R287" s="29"/>
      <c r="S287" s="29"/>
      <c r="T287" s="29"/>
    </row>
    <row r="288" spans="1:20" ht="15.05" customHeight="1">
      <c r="A288" s="16"/>
      <c r="B288" s="17"/>
      <c r="C288" s="17"/>
      <c r="D288" s="1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29"/>
      <c r="P288" s="29"/>
      <c r="Q288" s="29"/>
      <c r="R288" s="29"/>
      <c r="S288" s="29"/>
      <c r="T288" s="29"/>
    </row>
    <row r="289" spans="1:20" ht="15.05" customHeight="1">
      <c r="A289" s="16"/>
      <c r="B289" s="17"/>
      <c r="C289" s="17"/>
      <c r="D289" s="1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29"/>
      <c r="P289" s="29"/>
      <c r="Q289" s="29"/>
      <c r="R289" s="29"/>
      <c r="S289" s="29"/>
      <c r="T289" s="29"/>
    </row>
    <row r="290" spans="1:20" ht="15.05" customHeight="1">
      <c r="A290" s="16"/>
      <c r="B290" s="17"/>
      <c r="C290" s="17"/>
      <c r="D290" s="1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29"/>
      <c r="P290" s="29"/>
      <c r="Q290" s="29"/>
      <c r="R290" s="29"/>
      <c r="S290" s="29"/>
      <c r="T290" s="29"/>
    </row>
    <row r="291" spans="1:20" ht="15.05" customHeight="1">
      <c r="A291" s="16"/>
      <c r="B291" s="17"/>
      <c r="C291" s="17"/>
      <c r="D291" s="1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29"/>
      <c r="P291" s="29"/>
      <c r="Q291" s="29"/>
      <c r="R291" s="29"/>
      <c r="S291" s="29"/>
      <c r="T291" s="29"/>
    </row>
    <row r="292" spans="1:20" ht="15.05" customHeight="1">
      <c r="A292" s="16"/>
      <c r="B292" s="17"/>
      <c r="C292" s="17"/>
      <c r="D292" s="1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29"/>
      <c r="P292" s="29"/>
      <c r="Q292" s="29"/>
      <c r="R292" s="29"/>
      <c r="S292" s="29"/>
      <c r="T292" s="29"/>
    </row>
    <row r="293" spans="1:20" ht="15.05" customHeight="1">
      <c r="A293" s="16"/>
      <c r="B293" s="17"/>
      <c r="C293" s="17"/>
      <c r="D293" s="1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29"/>
      <c r="P293" s="29"/>
      <c r="Q293" s="29"/>
      <c r="R293" s="29"/>
      <c r="S293" s="29"/>
      <c r="T293" s="29"/>
    </row>
    <row r="294" spans="1:20" ht="15.05" customHeight="1">
      <c r="A294" s="16"/>
      <c r="B294" s="17"/>
      <c r="C294" s="17"/>
      <c r="D294" s="1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29"/>
      <c r="P294" s="29"/>
      <c r="Q294" s="29"/>
      <c r="R294" s="29"/>
      <c r="S294" s="29"/>
      <c r="T294" s="29"/>
    </row>
    <row r="295" spans="1:20" ht="15.05" customHeight="1">
      <c r="A295" s="16"/>
      <c r="B295" s="17"/>
      <c r="C295" s="17"/>
      <c r="D295" s="1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29"/>
      <c r="P295" s="29"/>
      <c r="Q295" s="29"/>
      <c r="R295" s="29"/>
      <c r="S295" s="29"/>
      <c r="T295" s="29"/>
    </row>
    <row r="296" spans="1:20" ht="15.05" customHeight="1">
      <c r="A296" s="16"/>
      <c r="B296" s="17"/>
      <c r="C296" s="17"/>
      <c r="D296" s="1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29"/>
      <c r="P296" s="29"/>
      <c r="Q296" s="29"/>
      <c r="R296" s="29"/>
      <c r="S296" s="29"/>
      <c r="T296" s="29"/>
    </row>
    <row r="297" spans="1:20" ht="15.05" customHeight="1">
      <c r="A297" s="16"/>
      <c r="B297" s="17"/>
      <c r="C297" s="17"/>
      <c r="D297" s="1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29"/>
      <c r="P297" s="29"/>
      <c r="Q297" s="29"/>
      <c r="R297" s="29"/>
      <c r="S297" s="29"/>
      <c r="T297" s="29"/>
    </row>
    <row r="298" spans="1:20" ht="15.05" customHeight="1">
      <c r="A298" s="16"/>
      <c r="B298" s="17"/>
      <c r="C298" s="17"/>
      <c r="D298" s="1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29"/>
      <c r="P298" s="29"/>
      <c r="Q298" s="29"/>
      <c r="R298" s="29"/>
      <c r="S298" s="29"/>
      <c r="T298" s="29"/>
    </row>
    <row r="299" spans="1:20" ht="15.05" customHeight="1">
      <c r="A299" s="16"/>
      <c r="B299" s="17"/>
      <c r="C299" s="17"/>
      <c r="D299" s="1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29"/>
      <c r="P299" s="29"/>
      <c r="Q299" s="29"/>
      <c r="R299" s="29"/>
      <c r="S299" s="29"/>
      <c r="T299" s="29"/>
    </row>
    <row r="300" spans="1:20" ht="15.05" customHeight="1">
      <c r="A300" s="16"/>
      <c r="B300" s="17"/>
      <c r="C300" s="17"/>
      <c r="D300" s="1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29"/>
      <c r="P300" s="29"/>
      <c r="Q300" s="29"/>
      <c r="R300" s="29"/>
      <c r="S300" s="29"/>
      <c r="T300" s="29"/>
    </row>
    <row r="301" spans="1:20" ht="15.05" customHeight="1">
      <c r="A301" s="16"/>
      <c r="B301" s="17"/>
      <c r="C301" s="17"/>
      <c r="D301" s="1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29"/>
      <c r="P301" s="29"/>
      <c r="Q301" s="29"/>
      <c r="R301" s="29"/>
      <c r="S301" s="29"/>
      <c r="T301" s="29"/>
    </row>
    <row r="302" spans="1:20" ht="15.05" customHeight="1">
      <c r="A302" s="16"/>
      <c r="B302" s="17"/>
      <c r="C302" s="17"/>
      <c r="D302" s="1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29"/>
      <c r="P302" s="29"/>
      <c r="Q302" s="29"/>
      <c r="R302" s="29"/>
      <c r="S302" s="29"/>
      <c r="T302" s="29"/>
    </row>
    <row r="303" spans="1:20" ht="15.05" customHeight="1">
      <c r="A303" s="16"/>
      <c r="B303" s="17"/>
      <c r="C303" s="17"/>
      <c r="D303" s="1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29"/>
      <c r="P303" s="29"/>
      <c r="Q303" s="29"/>
      <c r="R303" s="29"/>
      <c r="S303" s="29"/>
      <c r="T303" s="29"/>
    </row>
    <row r="304" spans="1:20" ht="15.05" customHeight="1">
      <c r="A304" s="16"/>
      <c r="B304" s="17"/>
      <c r="C304" s="17"/>
      <c r="D304" s="1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29"/>
      <c r="P304" s="29"/>
      <c r="Q304" s="29"/>
      <c r="R304" s="29"/>
      <c r="S304" s="29"/>
      <c r="T304" s="29"/>
    </row>
    <row r="305" spans="1:20" ht="15.05" customHeight="1">
      <c r="A305" s="16"/>
      <c r="B305" s="17"/>
      <c r="C305" s="17"/>
      <c r="D305" s="1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29"/>
      <c r="P305" s="29"/>
      <c r="Q305" s="29"/>
      <c r="R305" s="29"/>
      <c r="S305" s="29"/>
      <c r="T305" s="29"/>
    </row>
    <row r="306" spans="1:20" ht="15.05" customHeight="1">
      <c r="A306" s="16"/>
      <c r="B306" s="17"/>
      <c r="C306" s="17"/>
      <c r="D306" s="1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29"/>
      <c r="P306" s="29"/>
      <c r="Q306" s="29"/>
      <c r="R306" s="29"/>
      <c r="S306" s="29"/>
      <c r="T306" s="29"/>
    </row>
    <row r="307" spans="1:20" ht="15.05" customHeight="1">
      <c r="A307" s="16"/>
      <c r="B307" s="17"/>
      <c r="C307" s="17"/>
      <c r="D307" s="1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29"/>
      <c r="P307" s="29"/>
      <c r="Q307" s="29"/>
      <c r="R307" s="29"/>
      <c r="S307" s="29"/>
      <c r="T307" s="29"/>
    </row>
    <row r="308" spans="1:20" ht="15.05" customHeight="1">
      <c r="A308" s="16"/>
      <c r="B308" s="17"/>
      <c r="C308" s="17"/>
      <c r="D308" s="1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29"/>
      <c r="P308" s="29"/>
      <c r="Q308" s="29"/>
      <c r="R308" s="29"/>
      <c r="S308" s="29"/>
      <c r="T308" s="29"/>
    </row>
    <row r="309" spans="1:20" ht="15.05" customHeight="1">
      <c r="A309" s="16"/>
      <c r="B309" s="17"/>
      <c r="C309" s="17"/>
      <c r="D309" s="1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29"/>
      <c r="P309" s="29"/>
      <c r="Q309" s="29"/>
      <c r="R309" s="29"/>
      <c r="S309" s="29"/>
      <c r="T309" s="29"/>
    </row>
    <row r="310" spans="1:20" ht="15.05" customHeight="1">
      <c r="A310" s="16"/>
      <c r="B310" s="17"/>
      <c r="C310" s="17"/>
      <c r="D310" s="1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29"/>
      <c r="P310" s="29"/>
      <c r="Q310" s="29"/>
      <c r="R310" s="29"/>
      <c r="S310" s="29"/>
      <c r="T310" s="29"/>
    </row>
    <row r="311" spans="1:20" ht="15.05" customHeight="1">
      <c r="A311" s="16"/>
      <c r="B311" s="17"/>
      <c r="C311" s="17"/>
      <c r="D311" s="1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29"/>
      <c r="P311" s="29"/>
      <c r="Q311" s="29"/>
      <c r="R311" s="29"/>
      <c r="S311" s="29"/>
      <c r="T311" s="29"/>
    </row>
    <row r="312" spans="1:20" ht="15.05" customHeight="1">
      <c r="A312" s="16"/>
      <c r="B312" s="17"/>
      <c r="C312" s="17"/>
      <c r="D312" s="1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29"/>
      <c r="P312" s="29"/>
      <c r="Q312" s="29"/>
      <c r="R312" s="29"/>
      <c r="S312" s="29"/>
      <c r="T312" s="29"/>
    </row>
    <row r="313" spans="1:20" ht="15.05" customHeight="1">
      <c r="A313" s="16"/>
      <c r="B313" s="17"/>
      <c r="C313" s="17"/>
      <c r="D313" s="1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29"/>
      <c r="P313" s="29"/>
      <c r="Q313" s="29"/>
      <c r="R313" s="29"/>
      <c r="S313" s="29"/>
      <c r="T313" s="29"/>
    </row>
    <row r="314" spans="1:20" ht="15.05" customHeight="1">
      <c r="A314" s="16"/>
      <c r="B314" s="17"/>
      <c r="C314" s="17"/>
      <c r="D314" s="1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29"/>
      <c r="P314" s="29"/>
      <c r="Q314" s="29"/>
      <c r="R314" s="29"/>
      <c r="S314" s="29"/>
      <c r="T314" s="29"/>
    </row>
    <row r="315" spans="1:20" ht="15.05" customHeight="1">
      <c r="A315" s="16"/>
      <c r="B315" s="17"/>
      <c r="C315" s="17"/>
      <c r="D315" s="1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29"/>
      <c r="P315" s="29"/>
      <c r="Q315" s="29"/>
      <c r="R315" s="29"/>
      <c r="S315" s="29"/>
      <c r="T315" s="29"/>
    </row>
    <row r="316" spans="1:20" ht="15.05" customHeight="1">
      <c r="A316" s="16"/>
      <c r="B316" s="17"/>
      <c r="C316" s="17"/>
      <c r="D316" s="1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29"/>
      <c r="P316" s="29"/>
      <c r="Q316" s="29"/>
      <c r="R316" s="29"/>
      <c r="S316" s="29"/>
      <c r="T316" s="29"/>
    </row>
    <row r="317" spans="1:20" ht="15.05" customHeight="1">
      <c r="A317" s="16"/>
      <c r="B317" s="17"/>
      <c r="C317" s="17"/>
      <c r="D317" s="1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29"/>
      <c r="P317" s="29"/>
      <c r="Q317" s="29"/>
      <c r="R317" s="29"/>
      <c r="S317" s="29"/>
      <c r="T317" s="29"/>
    </row>
    <row r="318" spans="1:20" ht="15.05" customHeight="1">
      <c r="A318" s="16"/>
      <c r="B318" s="17"/>
      <c r="C318" s="17"/>
      <c r="D318" s="1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29"/>
      <c r="P318" s="29"/>
      <c r="Q318" s="29"/>
      <c r="R318" s="29"/>
      <c r="S318" s="29"/>
      <c r="T318" s="29"/>
    </row>
    <row r="319" spans="1:20" ht="15.05" customHeight="1">
      <c r="A319" s="16"/>
      <c r="B319" s="17"/>
      <c r="C319" s="17"/>
      <c r="D319" s="1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29"/>
      <c r="P319" s="29"/>
      <c r="Q319" s="29"/>
      <c r="R319" s="29"/>
      <c r="S319" s="29"/>
      <c r="T319" s="29"/>
    </row>
    <row r="320" spans="1:20" ht="15.05" customHeight="1">
      <c r="A320" s="16"/>
      <c r="B320" s="17"/>
      <c r="C320" s="17"/>
      <c r="D320" s="1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29"/>
      <c r="P320" s="29"/>
      <c r="Q320" s="29"/>
      <c r="R320" s="29"/>
      <c r="S320" s="29"/>
      <c r="T320" s="29"/>
    </row>
    <row r="321" spans="1:20" ht="15.05" customHeight="1">
      <c r="A321" s="16"/>
      <c r="B321" s="17"/>
      <c r="C321" s="17"/>
      <c r="D321" s="1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29"/>
      <c r="P321" s="29"/>
      <c r="Q321" s="29"/>
      <c r="R321" s="29"/>
      <c r="S321" s="29"/>
      <c r="T321" s="29"/>
    </row>
    <row r="322" spans="1:20" ht="15.05" customHeight="1">
      <c r="A322" s="16"/>
      <c r="B322" s="17"/>
      <c r="C322" s="17"/>
      <c r="D322" s="1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29"/>
      <c r="P322" s="29"/>
      <c r="Q322" s="29"/>
      <c r="R322" s="29"/>
      <c r="S322" s="29"/>
      <c r="T322" s="29"/>
    </row>
    <row r="323" spans="1:20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 spans="1:20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 spans="1:20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 spans="1:20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 spans="1:20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 spans="1:20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 spans="1:20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 spans="1:2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 spans="1:20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 spans="1:20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 spans="1:20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 spans="1:20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 spans="1:20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 spans="1:20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 spans="1:20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spans="1:20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 spans="1:20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 spans="1:2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 spans="1:20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 spans="1:20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 spans="1:20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 spans="1:20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 spans="1:20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 spans="1:20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 spans="1:20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 spans="1:20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 spans="1:20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 spans="1:2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 spans="1:20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 spans="1:20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 spans="1:20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 spans="1:20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 spans="1:20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 spans="1:20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 spans="1:20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 spans="1:20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 spans="1:20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 spans="1:2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 spans="1:20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 spans="1:20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 spans="1:20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 spans="1:20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 spans="1:20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 spans="1:20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 spans="1:20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 spans="1:20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 spans="1:20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 spans="1:2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 spans="1:20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 spans="1:20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 spans="1:20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 spans="1:20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 spans="1:20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 spans="1:20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 spans="1:20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 spans="1:20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 spans="1:20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 spans="1:2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 spans="1:20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 spans="1:20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 spans="1:20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 spans="1:20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 spans="1:20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 spans="1:20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 spans="1:20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 spans="1:20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 spans="1:20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 spans="1:2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 spans="1:20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 spans="1:20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 spans="1:20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 spans="1:20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 spans="1:20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 spans="1:20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 spans="1:20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 spans="1:20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 spans="1:20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 spans="1:2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 spans="1:20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 spans="1:20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 spans="1:20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 spans="1:20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 spans="1:20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 spans="1:20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 spans="1:20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 spans="1:20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 spans="1:20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 spans="1:2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 spans="1:20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 spans="1:20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 spans="1:20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 spans="1:20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 spans="1:20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 spans="1:20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 spans="1:20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 spans="1:20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 spans="1:20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 spans="1: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 spans="1:20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 spans="1:20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 spans="1:20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 spans="1:20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 spans="1:20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 spans="1:20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 spans="1:20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 spans="1:20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 spans="1:20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 spans="1:2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 spans="1:20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 spans="1:20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 spans="1:20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 spans="1:20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 spans="1:20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 spans="1:20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 spans="1:20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 spans="1:20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 spans="1:20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 spans="1:2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 spans="1:20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 spans="1:20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 spans="1:20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 spans="1:20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 spans="1:20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 spans="1:20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 spans="1:20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 spans="1:20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 spans="1:20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 spans="1:2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 spans="1:20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 spans="1:20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 spans="1:20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 spans="1:20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 spans="1:20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 spans="1:20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 spans="1:20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 spans="1:20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 spans="1:20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 spans="1:2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 spans="1:20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 spans="1:20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 spans="1:20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 spans="1:20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 spans="1:20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 spans="1:20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 spans="1:20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 spans="1:20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 spans="1:20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 spans="1:2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 spans="1:20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 spans="1:20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 spans="1:20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 spans="1:20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spans="1:20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 spans="1:20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 spans="1:20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 spans="1:20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 spans="1:20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 spans="1:2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 spans="1:20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 spans="1:20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 spans="1:20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 spans="1:20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 spans="1:20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 spans="1:20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 spans="1:20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 spans="1:20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 spans="1:20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 spans="1:2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 spans="1:20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 spans="1:20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 spans="1:20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 spans="1:20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 spans="1:20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 spans="1:20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 spans="1:20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 spans="1:20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 spans="1:20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 spans="1:2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 spans="1:20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 spans="1:20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 spans="1:20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 spans="1:20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 spans="1:20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 spans="1:20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 spans="1:20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 spans="1:20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 spans="1:20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 spans="1:2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 spans="1:20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 spans="1:20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 spans="1:20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 spans="1:20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 spans="1:20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 spans="1:20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 spans="1:20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 spans="1:20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 spans="1:20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 spans="1: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 spans="1:20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 spans="1:20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 spans="1:20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 spans="1:20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 spans="1:20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 spans="1:20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 spans="1:20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 spans="1:20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 spans="1:20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 spans="1:2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 spans="1:20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 spans="1:20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 spans="1:20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 spans="1:20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 spans="1:20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 spans="1:20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 spans="1:20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 spans="1:20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 spans="1:20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 spans="1:2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 spans="1:20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 spans="1:20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 spans="1:20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 spans="1:20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 spans="1:20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 spans="1:20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 spans="1:20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 spans="1:20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 spans="1:20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 spans="1:2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 spans="1:20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 spans="1:20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 spans="1:20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 spans="1:20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 spans="1:20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 spans="1:20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 spans="1:20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 spans="1:20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 spans="1:20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 spans="1:2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 spans="1:20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 spans="1:20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 spans="1:20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 spans="1:20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 spans="1:20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 spans="1:20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 spans="1:20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 spans="1:20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 spans="1:20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 spans="1:2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 spans="1:20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 spans="1:20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 spans="1:20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 spans="1:20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 spans="1:20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 spans="1:20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 spans="1:20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 spans="1:20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 spans="1:20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 spans="1:2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 spans="1:20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 spans="1:20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 spans="1:20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 spans="1:20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 spans="1:20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 spans="1:20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 spans="1:20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 spans="1:20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 spans="1:20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 spans="1:2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 spans="1:20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 spans="1:20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 spans="1:20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 spans="1:20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 spans="1:20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 spans="1:20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 spans="1:20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 spans="1:20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 spans="1:20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 spans="1:2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 spans="1:20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 spans="1:20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 spans="1:20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 spans="1:20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 spans="1:20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 spans="1:20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 spans="1:20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 spans="1:20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 spans="1:20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 spans="1:2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 spans="1:20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 spans="1:20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 spans="1:20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 spans="1:20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 spans="1:20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 spans="1:20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 spans="1:20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 spans="1:20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 spans="1:20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 spans="1: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 spans="1:20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 spans="1:20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 spans="1:20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 spans="1:20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 spans="1:20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 spans="1:20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 spans="1:20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 spans="1:20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 spans="1:20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 spans="1:2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 spans="1:20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 spans="1:20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 spans="1:20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 spans="1:20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 spans="1:20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 spans="1:20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 spans="1:20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 spans="1:20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 spans="1:20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 spans="1:2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 spans="1:20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 spans="1:20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 spans="1:20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 spans="1:20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 spans="1:20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 spans="1:20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 spans="1:20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 spans="1:20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 spans="1:20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 spans="1:2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 spans="1:20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 spans="1:20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 spans="1:20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 spans="1:20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 spans="1:20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 spans="1:20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 spans="1:20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 spans="1:20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 spans="1:20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 spans="1:2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 spans="1:20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 spans="1:20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 spans="1:20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 spans="1:20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 spans="1:20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 spans="1:20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 spans="1:20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 spans="1:20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 spans="1:20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 spans="1:2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 spans="1:20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 spans="1:20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 spans="1:20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 spans="1:20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 spans="1:20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 spans="1:20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 spans="1:20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 spans="1:20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 spans="1:20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 spans="1:2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 spans="1:20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 spans="1:20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 spans="1:20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 spans="1:20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 spans="1:20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 spans="1:20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 spans="1:20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 spans="1:20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 spans="1:20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 spans="1:2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 spans="1:20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 spans="1:20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 spans="1:20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 spans="1:20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 spans="1:20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 spans="1:20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 spans="1:20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 spans="1:20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 spans="1:20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 spans="1:2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 spans="1:20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 spans="1:20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 spans="1:20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 spans="1:20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 spans="1:20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 spans="1:20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 spans="1:20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 spans="1:20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 spans="1:20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 spans="1:2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 spans="1:20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 spans="1:20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 spans="1:20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 spans="1:20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 spans="1:20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 spans="1:20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 spans="1:20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 spans="1:20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 spans="1:20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 spans="1: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 spans="1:20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 spans="1:20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 spans="1:20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 spans="1:20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 spans="1:20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 spans="1:20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 spans="1:20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 spans="1:20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 spans="1:20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 spans="1:2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 spans="1:20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 spans="1:20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 spans="1:20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 spans="1:20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 spans="1:20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 spans="1:20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 spans="1:20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 spans="1:20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 spans="1:20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 spans="1:2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 spans="1:20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 spans="1:20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 spans="1:20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 spans="1:20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 spans="1:20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 spans="1:20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 spans="1:20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 spans="1:20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 spans="1:20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 spans="1:2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 spans="1:20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 spans="1:20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 spans="1:20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 spans="1:20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 spans="1:20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 spans="1:20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 spans="1:20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 spans="1:20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 spans="1:20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 spans="1:2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 spans="1:20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 spans="1:20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 spans="1:20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 spans="1:20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 spans="1:20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 spans="1:20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 spans="1:20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 spans="1:20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 spans="1:20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 spans="1:2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 spans="1:20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 spans="1:20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 spans="1:20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 spans="1:20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 spans="1:20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 spans="1:20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 spans="1:20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 spans="1:20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 spans="1:20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 spans="1:2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 spans="1:20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 spans="1:20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 spans="1:20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 spans="1:20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 spans="1:20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 spans="1:20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 spans="1:20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 spans="1:20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 spans="1:20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 spans="1:2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 spans="1:20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 spans="1:20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 spans="1:20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 spans="1:20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 spans="1:20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 spans="1:20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 spans="1:20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 spans="1:20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 spans="1:20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 spans="1:2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 spans="1:20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 spans="1:20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 spans="1:20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 spans="1:20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 spans="1:20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 spans="1:20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 spans="1:20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 spans="1:20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 spans="1:20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 spans="1:2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 spans="1:20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 spans="1:20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 spans="1:20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 spans="1:20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 spans="1:20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 spans="1:20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 spans="1:20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 spans="1:20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 spans="1:20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 spans="1: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 spans="1:20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 spans="1:20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 spans="1:20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 spans="1:20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 spans="1:20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 spans="1:20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 spans="1:20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 spans="1:20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 spans="1:20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 spans="1:2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 spans="1:20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 spans="1:20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 spans="1:20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 spans="1:20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 spans="1:20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 spans="1:20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 spans="1:20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 spans="1:20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 spans="1:20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 spans="1:2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 spans="1:20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 spans="1:20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 spans="1:20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 spans="1:20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 spans="1:20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 spans="1:20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 spans="1:20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 spans="1:20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 spans="1:20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 spans="1:2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 spans="1:20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 spans="1:20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 spans="1:20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 spans="1:20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 spans="1:20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 spans="1:20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 spans="1:20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 spans="1:20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 spans="1:20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 spans="1:2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 spans="1:20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 spans="1:20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 spans="1:20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 spans="1:20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 spans="1:20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 spans="1:20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 spans="1:20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 spans="1:20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 spans="1:20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 spans="1:2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 spans="1:20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 spans="1:20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 spans="1:20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 spans="1:20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 spans="1:20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 spans="1:20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 spans="1:20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 spans="1:20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 spans="1:20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 spans="1:2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 spans="1:20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 spans="1:20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 spans="1:20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 spans="1:20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 spans="1:20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 spans="1:20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 spans="1:20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 spans="1:20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 spans="1:20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 spans="1:2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 spans="1:20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 spans="1:20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 spans="1:20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 spans="1:20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 spans="1:20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 spans="1:20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 spans="1:20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 spans="1:20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 spans="1:20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 spans="1:2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 spans="1:20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 spans="1:20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 spans="1:20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 spans="1:20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 spans="1:20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 spans="1:20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 spans="1:20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 spans="1:20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 spans="1:20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 spans="1:2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 spans="1:20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 spans="1:20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 spans="1:20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 spans="1:20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 spans="1:20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 spans="1:20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 spans="1:20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 spans="1:20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 spans="1:20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 spans="1: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 spans="1:20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 spans="1:20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 spans="1:20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 spans="1:20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 spans="1:20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 spans="1:20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 spans="1:20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 spans="1:20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 spans="1:20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 spans="1:2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 spans="1:20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 spans="1:20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 spans="1:20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 spans="1:20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 spans="1:20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 spans="1:20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 spans="1:20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 spans="1:20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 spans="1:20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 spans="1:2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 spans="1:20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 spans="1:20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 spans="1:20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 spans="1:20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 spans="1:20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 spans="1:20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 spans="1:20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 spans="1:20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 spans="1:20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 spans="1:2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 spans="1:20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 spans="1:20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 spans="1:20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  <row r="954" spans="1:20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</row>
    <row r="955" spans="1:20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</row>
    <row r="956" spans="1:20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</row>
    <row r="957" spans="1:20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</row>
    <row r="958" spans="1:20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</row>
    <row r="959" spans="1:20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</row>
    <row r="960" spans="1:2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</row>
    <row r="961" spans="1:20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</row>
    <row r="962" spans="1:20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</row>
    <row r="963" spans="1:20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</row>
    <row r="964" spans="1:20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</row>
    <row r="965" spans="1:20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</row>
    <row r="966" spans="1:20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</row>
    <row r="967" spans="1:20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</row>
    <row r="968" spans="1:20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</row>
    <row r="969" spans="1:20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</row>
    <row r="970" spans="1:2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</row>
    <row r="971" spans="1:20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</row>
    <row r="972" spans="1:20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</row>
    <row r="973" spans="1:20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</row>
    <row r="974" spans="1:20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</row>
    <row r="975" spans="1:20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</row>
    <row r="976" spans="1:20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</row>
    <row r="977" spans="1:20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</row>
    <row r="978" spans="1:20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</row>
    <row r="979" spans="1:20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</row>
    <row r="980" spans="1:2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 spans="1:20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</row>
    <row r="982" spans="1:20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</row>
    <row r="983" spans="1:20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</row>
    <row r="984" spans="1:20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</row>
    <row r="985" spans="1:20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</row>
    <row r="986" spans="1:20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</row>
    <row r="987" spans="1:20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</row>
    <row r="988" spans="1:20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</row>
    <row r="989" spans="1:20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</row>
    <row r="990" spans="1:2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</row>
    <row r="991" spans="1:20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</row>
    <row r="992" spans="1:20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</row>
    <row r="993" spans="1:20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</row>
    <row r="994" spans="1:20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</row>
    <row r="995" spans="1:20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</row>
    <row r="996" spans="1:20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</row>
    <row r="997" spans="1:20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</row>
    <row r="998" spans="1:20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</row>
    <row r="999" spans="1:20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</row>
    <row r="1000" spans="1:2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</row>
    <row r="1001" spans="1:20" ht="15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</row>
    <row r="1002" spans="1:20" ht="15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</row>
  </sheetData>
  <mergeCells count="16">
    <mergeCell ref="C1:J1"/>
    <mergeCell ref="A2:A3"/>
    <mergeCell ref="B2:B3"/>
    <mergeCell ref="C2:C3"/>
    <mergeCell ref="D2:D3"/>
    <mergeCell ref="E2:F2"/>
    <mergeCell ref="G2:H2"/>
    <mergeCell ref="I2:J2"/>
    <mergeCell ref="C77:J77"/>
    <mergeCell ref="A78:A79"/>
    <mergeCell ref="B78:B79"/>
    <mergeCell ref="C78:C79"/>
    <mergeCell ref="D78:D79"/>
    <mergeCell ref="E78:F78"/>
    <mergeCell ref="G78:H78"/>
    <mergeCell ref="I78:J78"/>
  </mergeCells>
  <printOptions horizontalCentered="1"/>
  <pageMargins left="0.54" right="0.114583333333333" top="1.2083333333333299" bottom="0.26" header="0" footer="0"/>
  <pageSetup paperSize="9" orientation="landscape"/>
  <rowBreaks count="1" manualBreakCount="1">
    <brk id="7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7"/>
  <sheetViews>
    <sheetView topLeftCell="A162" workbookViewId="0">
      <selection activeCell="C175" sqref="C175"/>
    </sheetView>
  </sheetViews>
  <sheetFormatPr defaultColWidth="12.6328125" defaultRowHeight="15.05" customHeight="1"/>
  <cols>
    <col min="1" max="1" width="7.6328125" style="99" customWidth="1"/>
    <col min="2" max="2" width="31.26953125" style="99" customWidth="1"/>
    <col min="3" max="3" width="26.08984375" style="99" customWidth="1"/>
    <col min="4" max="4" width="5.90625" style="99" customWidth="1"/>
    <col min="5" max="5" width="12.36328125" style="99" customWidth="1"/>
    <col min="6" max="6" width="10.453125" style="99" customWidth="1"/>
    <col min="7" max="8" width="11" style="99" customWidth="1"/>
    <col min="9" max="9" width="9.90625" style="99" customWidth="1"/>
    <col min="10" max="10" width="6.90625" style="99" customWidth="1"/>
    <col min="11" max="11" width="7" style="99" customWidth="1"/>
    <col min="12" max="16384" width="12.6328125" style="99"/>
  </cols>
  <sheetData>
    <row r="1" spans="1:26" ht="15.05" customHeight="1">
      <c r="A1" s="96" t="s">
        <v>451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3.4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5.05" customHeight="1">
      <c r="A3" s="53" t="s">
        <v>452</v>
      </c>
      <c r="B3" s="88"/>
      <c r="C3" s="88"/>
      <c r="D3" s="88"/>
      <c r="E3" s="88"/>
      <c r="F3" s="88"/>
      <c r="G3" s="88"/>
      <c r="H3" s="88"/>
      <c r="I3" s="88"/>
      <c r="J3" s="88"/>
      <c r="K3" s="89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5.05" customHeight="1">
      <c r="A4" s="48" t="s">
        <v>453</v>
      </c>
      <c r="B4" s="48" t="s">
        <v>454</v>
      </c>
      <c r="C4" s="48" t="s">
        <v>9</v>
      </c>
      <c r="D4" s="48" t="s">
        <v>455</v>
      </c>
      <c r="E4" s="90" t="s">
        <v>456</v>
      </c>
      <c r="F4" s="91"/>
      <c r="G4" s="91"/>
      <c r="H4" s="91"/>
      <c r="I4" s="92"/>
      <c r="J4" s="48" t="s">
        <v>457</v>
      </c>
      <c r="K4" s="48" t="s">
        <v>458</v>
      </c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5.05" customHeight="1">
      <c r="A5" s="93"/>
      <c r="B5" s="93"/>
      <c r="C5" s="93"/>
      <c r="D5" s="93"/>
      <c r="E5" s="7">
        <v>1</v>
      </c>
      <c r="F5" s="7">
        <v>2</v>
      </c>
      <c r="G5" s="7">
        <v>3</v>
      </c>
      <c r="H5" s="7">
        <v>4</v>
      </c>
      <c r="I5" s="7">
        <v>5</v>
      </c>
      <c r="J5" s="93"/>
      <c r="K5" s="93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3.45">
      <c r="A6" s="94"/>
      <c r="B6" s="94"/>
      <c r="C6" s="94"/>
      <c r="D6" s="94"/>
      <c r="E6" s="95"/>
      <c r="F6" s="95"/>
      <c r="G6" s="95"/>
      <c r="H6" s="95"/>
      <c r="I6" s="95"/>
      <c r="J6" s="94"/>
      <c r="K6" s="94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5.05" customHeight="1">
      <c r="A7" s="75">
        <v>1</v>
      </c>
      <c r="B7" s="74" t="s">
        <v>459</v>
      </c>
      <c r="C7" s="75" t="s">
        <v>40</v>
      </c>
      <c r="D7" s="75">
        <v>2010</v>
      </c>
      <c r="E7" s="75">
        <v>84</v>
      </c>
      <c r="F7" s="75">
        <v>83</v>
      </c>
      <c r="G7" s="75">
        <v>83</v>
      </c>
      <c r="H7" s="75">
        <v>84</v>
      </c>
      <c r="I7" s="75">
        <v>85</v>
      </c>
      <c r="J7" s="75">
        <v>251</v>
      </c>
      <c r="K7" s="100" t="s">
        <v>460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5.05" customHeight="1">
      <c r="A8" s="75">
        <v>2</v>
      </c>
      <c r="B8" s="74" t="s">
        <v>461</v>
      </c>
      <c r="C8" s="75" t="s">
        <v>62</v>
      </c>
      <c r="D8" s="75">
        <v>2011</v>
      </c>
      <c r="E8" s="75">
        <v>86</v>
      </c>
      <c r="F8" s="75">
        <v>86</v>
      </c>
      <c r="G8" s="75">
        <v>86</v>
      </c>
      <c r="H8" s="75">
        <v>86</v>
      </c>
      <c r="I8" s="75">
        <v>86</v>
      </c>
      <c r="J8" s="75">
        <v>258</v>
      </c>
      <c r="K8" s="101" t="s">
        <v>462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5.05" customHeight="1">
      <c r="A9" s="75">
        <v>3</v>
      </c>
      <c r="B9" s="74" t="s">
        <v>463</v>
      </c>
      <c r="C9" s="75" t="s">
        <v>15</v>
      </c>
      <c r="D9" s="75">
        <v>2010</v>
      </c>
      <c r="E9" s="75">
        <v>83</v>
      </c>
      <c r="F9" s="75">
        <v>84</v>
      </c>
      <c r="G9" s="75">
        <v>84</v>
      </c>
      <c r="H9" s="75">
        <v>84</v>
      </c>
      <c r="I9" s="75">
        <v>83</v>
      </c>
      <c r="J9" s="75">
        <v>251</v>
      </c>
      <c r="K9" s="100" t="s">
        <v>460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5.05" customHeight="1">
      <c r="A10" s="75">
        <v>4</v>
      </c>
      <c r="B10" s="74" t="s">
        <v>464</v>
      </c>
      <c r="C10" s="75" t="s">
        <v>17</v>
      </c>
      <c r="D10" s="75">
        <v>2012</v>
      </c>
      <c r="E10" s="75">
        <v>83</v>
      </c>
      <c r="F10" s="75">
        <v>83</v>
      </c>
      <c r="G10" s="75">
        <v>83</v>
      </c>
      <c r="H10" s="75">
        <v>85</v>
      </c>
      <c r="I10" s="75">
        <v>84</v>
      </c>
      <c r="J10" s="75">
        <v>250</v>
      </c>
      <c r="K10" s="95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5.05" customHeight="1">
      <c r="A11" s="75">
        <v>5</v>
      </c>
      <c r="B11" s="74" t="s">
        <v>465</v>
      </c>
      <c r="C11" s="75" t="s">
        <v>19</v>
      </c>
      <c r="D11" s="75">
        <v>2011</v>
      </c>
      <c r="E11" s="75">
        <v>84</v>
      </c>
      <c r="F11" s="75">
        <v>83</v>
      </c>
      <c r="G11" s="75">
        <v>84</v>
      </c>
      <c r="H11" s="75">
        <v>84</v>
      </c>
      <c r="I11" s="75">
        <v>84</v>
      </c>
      <c r="J11" s="75">
        <v>252</v>
      </c>
      <c r="K11" s="102" t="s">
        <v>466</v>
      </c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5.05" customHeight="1">
      <c r="A12" s="75">
        <v>6</v>
      </c>
      <c r="B12" s="74" t="s">
        <v>467</v>
      </c>
      <c r="C12" s="75" t="s">
        <v>168</v>
      </c>
      <c r="D12" s="75">
        <v>2009</v>
      </c>
      <c r="E12" s="75">
        <v>81</v>
      </c>
      <c r="F12" s="75">
        <v>80</v>
      </c>
      <c r="G12" s="75">
        <v>82</v>
      </c>
      <c r="H12" s="75">
        <v>82</v>
      </c>
      <c r="I12" s="75">
        <v>80</v>
      </c>
      <c r="J12" s="75">
        <v>243</v>
      </c>
      <c r="K12" s="95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5.05" customHeight="1">
      <c r="A13" s="75">
        <v>7</v>
      </c>
      <c r="B13" s="74" t="s">
        <v>468</v>
      </c>
      <c r="C13" s="75" t="s">
        <v>88</v>
      </c>
      <c r="D13" s="75">
        <v>2010</v>
      </c>
      <c r="E13" s="75">
        <v>83</v>
      </c>
      <c r="F13" s="75">
        <v>82</v>
      </c>
      <c r="G13" s="75">
        <v>82</v>
      </c>
      <c r="H13" s="75">
        <v>84</v>
      </c>
      <c r="I13" s="75">
        <v>82</v>
      </c>
      <c r="J13" s="75">
        <v>247</v>
      </c>
      <c r="K13" s="95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5.05" customHeight="1">
      <c r="A14" s="75">
        <v>8</v>
      </c>
      <c r="B14" s="74" t="s">
        <v>469</v>
      </c>
      <c r="C14" s="75" t="s">
        <v>21</v>
      </c>
      <c r="D14" s="75">
        <v>2013</v>
      </c>
      <c r="E14" s="75">
        <v>83</v>
      </c>
      <c r="F14" s="75">
        <v>83</v>
      </c>
      <c r="G14" s="75">
        <v>81</v>
      </c>
      <c r="H14" s="75">
        <v>82</v>
      </c>
      <c r="I14" s="75">
        <v>81</v>
      </c>
      <c r="J14" s="75">
        <v>246</v>
      </c>
      <c r="K14" s="95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5.05" customHeight="1">
      <c r="A15" s="75">
        <v>9</v>
      </c>
      <c r="B15" s="74" t="s">
        <v>470</v>
      </c>
      <c r="C15" s="75" t="s">
        <v>13</v>
      </c>
      <c r="D15" s="75">
        <v>2013</v>
      </c>
      <c r="E15" s="75">
        <v>83</v>
      </c>
      <c r="F15" s="75">
        <v>84</v>
      </c>
      <c r="G15" s="75">
        <v>83</v>
      </c>
      <c r="H15" s="75">
        <v>82</v>
      </c>
      <c r="I15" s="75">
        <v>82</v>
      </c>
      <c r="J15" s="75">
        <v>248</v>
      </c>
      <c r="K15" s="95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5.05" customHeight="1">
      <c r="A16" s="75">
        <v>10</v>
      </c>
      <c r="B16" s="74" t="s">
        <v>471</v>
      </c>
      <c r="C16" s="87" t="s">
        <v>27</v>
      </c>
      <c r="D16" s="75">
        <v>2012</v>
      </c>
      <c r="E16" s="75">
        <v>82</v>
      </c>
      <c r="F16" s="75">
        <v>83</v>
      </c>
      <c r="G16" s="75">
        <v>81</v>
      </c>
      <c r="H16" s="75">
        <v>82</v>
      </c>
      <c r="I16" s="75">
        <v>82</v>
      </c>
      <c r="J16" s="75">
        <v>246</v>
      </c>
      <c r="K16" s="95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3.45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3.45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5.05" customHeight="1">
      <c r="A19" s="53" t="s">
        <v>472</v>
      </c>
      <c r="B19" s="88"/>
      <c r="C19" s="88"/>
      <c r="D19" s="88"/>
      <c r="E19" s="88"/>
      <c r="F19" s="88"/>
      <c r="G19" s="88"/>
      <c r="H19" s="88"/>
      <c r="I19" s="88"/>
      <c r="J19" s="88"/>
      <c r="K19" s="89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5.05" customHeight="1">
      <c r="A20" s="48" t="s">
        <v>453</v>
      </c>
      <c r="B20" s="48" t="s">
        <v>454</v>
      </c>
      <c r="C20" s="48" t="s">
        <v>9</v>
      </c>
      <c r="D20" s="48" t="s">
        <v>455</v>
      </c>
      <c r="E20" s="90" t="s">
        <v>456</v>
      </c>
      <c r="F20" s="91"/>
      <c r="G20" s="91"/>
      <c r="H20" s="91"/>
      <c r="I20" s="92"/>
      <c r="J20" s="48" t="s">
        <v>457</v>
      </c>
      <c r="K20" s="48" t="s">
        <v>458</v>
      </c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5.05" customHeight="1">
      <c r="A21" s="93"/>
      <c r="B21" s="93"/>
      <c r="C21" s="93"/>
      <c r="D21" s="93"/>
      <c r="E21" s="7">
        <v>1</v>
      </c>
      <c r="F21" s="7">
        <v>2</v>
      </c>
      <c r="G21" s="7">
        <v>3</v>
      </c>
      <c r="H21" s="7">
        <v>4</v>
      </c>
      <c r="I21" s="7">
        <v>5</v>
      </c>
      <c r="J21" s="93"/>
      <c r="K21" s="93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5.05" customHeight="1">
      <c r="A22" s="94"/>
      <c r="B22" s="94"/>
      <c r="C22" s="94"/>
      <c r="D22" s="94"/>
      <c r="E22" s="7" t="s">
        <v>473</v>
      </c>
      <c r="F22" s="7" t="s">
        <v>474</v>
      </c>
      <c r="G22" s="7" t="s">
        <v>475</v>
      </c>
      <c r="H22" s="7" t="s">
        <v>476</v>
      </c>
      <c r="I22" s="7" t="s">
        <v>477</v>
      </c>
      <c r="J22" s="94"/>
      <c r="K22" s="94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5.05" customHeight="1">
      <c r="A23" s="103">
        <v>1</v>
      </c>
      <c r="B23" s="74" t="s">
        <v>478</v>
      </c>
      <c r="C23" s="75" t="s">
        <v>40</v>
      </c>
      <c r="D23" s="75">
        <v>2012</v>
      </c>
      <c r="E23" s="103">
        <v>84</v>
      </c>
      <c r="F23" s="103">
        <v>82</v>
      </c>
      <c r="G23" s="103">
        <v>80</v>
      </c>
      <c r="H23" s="103">
        <v>81</v>
      </c>
      <c r="I23" s="103">
        <v>82</v>
      </c>
      <c r="J23" s="103">
        <v>243</v>
      </c>
      <c r="K23" s="104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5.05" customHeight="1">
      <c r="A24" s="94"/>
      <c r="B24" s="74" t="s">
        <v>459</v>
      </c>
      <c r="C24" s="75" t="s">
        <v>40</v>
      </c>
      <c r="D24" s="75">
        <v>2010</v>
      </c>
      <c r="E24" s="94"/>
      <c r="F24" s="94"/>
      <c r="G24" s="94"/>
      <c r="H24" s="94"/>
      <c r="I24" s="94"/>
      <c r="J24" s="94"/>
      <c r="K24" s="94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>
      <c r="A25" s="103">
        <v>2</v>
      </c>
      <c r="B25" s="74" t="s">
        <v>479</v>
      </c>
      <c r="C25" s="75" t="s">
        <v>168</v>
      </c>
      <c r="D25" s="75">
        <v>2010</v>
      </c>
      <c r="E25" s="103">
        <v>81</v>
      </c>
      <c r="F25" s="103">
        <v>82</v>
      </c>
      <c r="G25" s="103">
        <v>80</v>
      </c>
      <c r="H25" s="103">
        <v>82</v>
      </c>
      <c r="I25" s="103">
        <v>83</v>
      </c>
      <c r="J25" s="103">
        <v>245</v>
      </c>
      <c r="K25" s="104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>
      <c r="A26" s="94"/>
      <c r="B26" s="74" t="s">
        <v>467</v>
      </c>
      <c r="C26" s="75" t="s">
        <v>168</v>
      </c>
      <c r="D26" s="75">
        <v>2009</v>
      </c>
      <c r="E26" s="94"/>
      <c r="F26" s="94"/>
      <c r="G26" s="94"/>
      <c r="H26" s="94"/>
      <c r="I26" s="94"/>
      <c r="J26" s="94"/>
      <c r="K26" s="94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>
      <c r="A27" s="103">
        <v>3</v>
      </c>
      <c r="B27" s="74" t="s">
        <v>480</v>
      </c>
      <c r="C27" s="87" t="s">
        <v>27</v>
      </c>
      <c r="D27" s="75">
        <v>2011</v>
      </c>
      <c r="E27" s="103">
        <v>84</v>
      </c>
      <c r="F27" s="103">
        <v>84</v>
      </c>
      <c r="G27" s="103">
        <v>84</v>
      </c>
      <c r="H27" s="103">
        <v>84</v>
      </c>
      <c r="I27" s="103">
        <v>84</v>
      </c>
      <c r="J27" s="103">
        <v>252</v>
      </c>
      <c r="K27" s="105" t="s">
        <v>460</v>
      </c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>
      <c r="A28" s="94"/>
      <c r="B28" s="74" t="s">
        <v>481</v>
      </c>
      <c r="C28" s="87" t="s">
        <v>27</v>
      </c>
      <c r="D28" s="75">
        <v>2010</v>
      </c>
      <c r="E28" s="94"/>
      <c r="F28" s="94"/>
      <c r="G28" s="94"/>
      <c r="H28" s="94"/>
      <c r="I28" s="94"/>
      <c r="J28" s="94"/>
      <c r="K28" s="94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>
      <c r="A29" s="103">
        <v>4</v>
      </c>
      <c r="B29" s="74" t="s">
        <v>482</v>
      </c>
      <c r="C29" s="75" t="s">
        <v>101</v>
      </c>
      <c r="D29" s="75">
        <v>2010</v>
      </c>
      <c r="E29" s="103">
        <v>84</v>
      </c>
      <c r="F29" s="103">
        <v>84</v>
      </c>
      <c r="G29" s="103">
        <v>84</v>
      </c>
      <c r="H29" s="103">
        <v>85</v>
      </c>
      <c r="I29" s="103">
        <v>84</v>
      </c>
      <c r="J29" s="103">
        <v>252</v>
      </c>
      <c r="K29" s="105" t="s">
        <v>460</v>
      </c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>
      <c r="A30" s="94"/>
      <c r="B30" s="74" t="s">
        <v>483</v>
      </c>
      <c r="C30" s="75" t="s">
        <v>101</v>
      </c>
      <c r="D30" s="75">
        <v>2009</v>
      </c>
      <c r="E30" s="94"/>
      <c r="F30" s="94"/>
      <c r="G30" s="94"/>
      <c r="H30" s="94"/>
      <c r="I30" s="94"/>
      <c r="J30" s="94"/>
      <c r="K30" s="94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>
      <c r="A31" s="103">
        <v>5</v>
      </c>
      <c r="B31" s="74" t="s">
        <v>484</v>
      </c>
      <c r="C31" s="75" t="s">
        <v>62</v>
      </c>
      <c r="D31" s="75">
        <v>2012</v>
      </c>
      <c r="E31" s="103">
        <v>87</v>
      </c>
      <c r="F31" s="103">
        <v>86</v>
      </c>
      <c r="G31" s="103">
        <v>86</v>
      </c>
      <c r="H31" s="103">
        <v>87</v>
      </c>
      <c r="I31" s="103">
        <v>86</v>
      </c>
      <c r="J31" s="103">
        <v>259</v>
      </c>
      <c r="K31" s="106" t="s">
        <v>462</v>
      </c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>
      <c r="A32" s="94"/>
      <c r="B32" s="74" t="s">
        <v>485</v>
      </c>
      <c r="C32" s="75" t="s">
        <v>62</v>
      </c>
      <c r="D32" s="75">
        <v>2009</v>
      </c>
      <c r="E32" s="94"/>
      <c r="F32" s="94"/>
      <c r="G32" s="94"/>
      <c r="H32" s="94"/>
      <c r="I32" s="94"/>
      <c r="J32" s="94"/>
      <c r="K32" s="94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>
      <c r="A33" s="103">
        <v>6</v>
      </c>
      <c r="B33" s="74" t="s">
        <v>486</v>
      </c>
      <c r="C33" s="75" t="s">
        <v>19</v>
      </c>
      <c r="D33" s="75">
        <v>2010</v>
      </c>
      <c r="E33" s="103">
        <v>86</v>
      </c>
      <c r="F33" s="103">
        <v>84</v>
      </c>
      <c r="G33" s="103">
        <v>85</v>
      </c>
      <c r="H33" s="103">
        <v>85</v>
      </c>
      <c r="I33" s="103">
        <v>85</v>
      </c>
      <c r="J33" s="103">
        <v>255</v>
      </c>
      <c r="K33" s="107" t="s">
        <v>466</v>
      </c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>
      <c r="A34" s="94"/>
      <c r="B34" s="74" t="s">
        <v>465</v>
      </c>
      <c r="C34" s="75" t="s">
        <v>19</v>
      </c>
      <c r="D34" s="75">
        <v>2011</v>
      </c>
      <c r="E34" s="94"/>
      <c r="F34" s="94"/>
      <c r="G34" s="94"/>
      <c r="H34" s="94"/>
      <c r="I34" s="94"/>
      <c r="J34" s="94"/>
      <c r="K34" s="94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>
      <c r="A35" s="103">
        <v>7</v>
      </c>
      <c r="B35" s="74" t="s">
        <v>468</v>
      </c>
      <c r="C35" s="75" t="s">
        <v>88</v>
      </c>
      <c r="D35" s="75">
        <v>2010</v>
      </c>
      <c r="E35" s="103">
        <v>83</v>
      </c>
      <c r="F35" s="103">
        <v>83</v>
      </c>
      <c r="G35" s="103">
        <v>83</v>
      </c>
      <c r="H35" s="103">
        <v>83</v>
      </c>
      <c r="I35" s="103">
        <v>84</v>
      </c>
      <c r="J35" s="103">
        <v>249</v>
      </c>
      <c r="K35" s="104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>
      <c r="A36" s="94"/>
      <c r="B36" s="74" t="s">
        <v>487</v>
      </c>
      <c r="C36" s="75" t="s">
        <v>88</v>
      </c>
      <c r="D36" s="75">
        <v>2010</v>
      </c>
      <c r="E36" s="94"/>
      <c r="F36" s="94"/>
      <c r="G36" s="94"/>
      <c r="H36" s="94"/>
      <c r="I36" s="94"/>
      <c r="J36" s="94"/>
      <c r="K36" s="94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>
      <c r="A37" s="103">
        <v>8</v>
      </c>
      <c r="B37" s="74" t="s">
        <v>488</v>
      </c>
      <c r="C37" s="75" t="s">
        <v>13</v>
      </c>
      <c r="D37" s="75">
        <v>2013</v>
      </c>
      <c r="E37" s="103">
        <v>83</v>
      </c>
      <c r="F37" s="103">
        <v>83</v>
      </c>
      <c r="G37" s="103">
        <v>83</v>
      </c>
      <c r="H37" s="103">
        <v>84</v>
      </c>
      <c r="I37" s="103">
        <v>83</v>
      </c>
      <c r="J37" s="103">
        <v>249</v>
      </c>
      <c r="K37" s="104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>
      <c r="A38" s="94"/>
      <c r="B38" s="74" t="s">
        <v>489</v>
      </c>
      <c r="C38" s="75" t="s">
        <v>13</v>
      </c>
      <c r="D38" s="75">
        <v>2013</v>
      </c>
      <c r="E38" s="94"/>
      <c r="F38" s="94"/>
      <c r="G38" s="94"/>
      <c r="H38" s="94"/>
      <c r="I38" s="94"/>
      <c r="J38" s="94"/>
      <c r="K38" s="94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>
      <c r="A39" s="103">
        <v>9</v>
      </c>
      <c r="B39" s="74" t="s">
        <v>490</v>
      </c>
      <c r="C39" s="75" t="s">
        <v>17</v>
      </c>
      <c r="D39" s="75">
        <v>2009</v>
      </c>
      <c r="E39" s="103">
        <v>83</v>
      </c>
      <c r="F39" s="103">
        <v>84</v>
      </c>
      <c r="G39" s="103">
        <v>84</v>
      </c>
      <c r="H39" s="103">
        <v>83</v>
      </c>
      <c r="I39" s="103">
        <v>83</v>
      </c>
      <c r="J39" s="103">
        <v>250</v>
      </c>
      <c r="K39" s="104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>
      <c r="A40" s="94"/>
      <c r="B40" s="74" t="s">
        <v>491</v>
      </c>
      <c r="C40" s="75" t="s">
        <v>17</v>
      </c>
      <c r="D40" s="75">
        <v>2009</v>
      </c>
      <c r="E40" s="94"/>
      <c r="F40" s="94"/>
      <c r="G40" s="94"/>
      <c r="H40" s="94"/>
      <c r="I40" s="94"/>
      <c r="J40" s="94"/>
      <c r="K40" s="94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3.45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3.45">
      <c r="A42" s="53" t="s">
        <v>492</v>
      </c>
      <c r="B42" s="88"/>
      <c r="C42" s="88"/>
      <c r="D42" s="88"/>
      <c r="E42" s="88"/>
      <c r="F42" s="88"/>
      <c r="G42" s="88"/>
      <c r="H42" s="88"/>
      <c r="I42" s="88"/>
      <c r="J42" s="88"/>
      <c r="K42" s="89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45">
      <c r="A43" s="48" t="s">
        <v>453</v>
      </c>
      <c r="B43" s="48" t="s">
        <v>454</v>
      </c>
      <c r="C43" s="48" t="s">
        <v>9</v>
      </c>
      <c r="D43" s="48" t="s">
        <v>455</v>
      </c>
      <c r="E43" s="90" t="s">
        <v>456</v>
      </c>
      <c r="F43" s="91"/>
      <c r="G43" s="91"/>
      <c r="H43" s="91"/>
      <c r="I43" s="92"/>
      <c r="J43" s="48" t="s">
        <v>457</v>
      </c>
      <c r="K43" s="48" t="s">
        <v>458</v>
      </c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>
      <c r="A44" s="93"/>
      <c r="B44" s="93"/>
      <c r="C44" s="93"/>
      <c r="D44" s="93"/>
      <c r="E44" s="7">
        <v>1</v>
      </c>
      <c r="F44" s="7">
        <v>2</v>
      </c>
      <c r="G44" s="7">
        <v>3</v>
      </c>
      <c r="H44" s="7">
        <v>4</v>
      </c>
      <c r="I44" s="7">
        <v>5</v>
      </c>
      <c r="J44" s="93"/>
      <c r="K44" s="93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>
      <c r="A45" s="94"/>
      <c r="B45" s="94"/>
      <c r="C45" s="94"/>
      <c r="D45" s="94"/>
      <c r="E45" s="7" t="s">
        <v>493</v>
      </c>
      <c r="F45" s="7" t="s">
        <v>476</v>
      </c>
      <c r="G45" s="7" t="s">
        <v>475</v>
      </c>
      <c r="H45" s="7" t="s">
        <v>477</v>
      </c>
      <c r="I45" s="7" t="s">
        <v>474</v>
      </c>
      <c r="J45" s="94"/>
      <c r="K45" s="94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>
      <c r="A46" s="103">
        <v>1</v>
      </c>
      <c r="B46" s="74" t="s">
        <v>461</v>
      </c>
      <c r="C46" s="75" t="s">
        <v>62</v>
      </c>
      <c r="D46" s="75">
        <v>2011</v>
      </c>
      <c r="E46" s="103">
        <v>86</v>
      </c>
      <c r="F46" s="103">
        <v>88</v>
      </c>
      <c r="G46" s="103">
        <v>87</v>
      </c>
      <c r="H46" s="103">
        <v>86</v>
      </c>
      <c r="I46" s="103">
        <v>85</v>
      </c>
      <c r="J46" s="103">
        <v>259</v>
      </c>
      <c r="K46" s="106" t="s">
        <v>462</v>
      </c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>
      <c r="A47" s="93"/>
      <c r="B47" s="74" t="s">
        <v>484</v>
      </c>
      <c r="C47" s="75" t="s">
        <v>62</v>
      </c>
      <c r="D47" s="75">
        <v>2012</v>
      </c>
      <c r="E47" s="93"/>
      <c r="F47" s="93"/>
      <c r="G47" s="93"/>
      <c r="H47" s="93"/>
      <c r="I47" s="93"/>
      <c r="J47" s="93"/>
      <c r="K47" s="93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>
      <c r="A48" s="93"/>
      <c r="B48" s="74" t="s">
        <v>485</v>
      </c>
      <c r="C48" s="75" t="s">
        <v>62</v>
      </c>
      <c r="D48" s="75">
        <v>2009</v>
      </c>
      <c r="E48" s="93"/>
      <c r="F48" s="93"/>
      <c r="G48" s="93"/>
      <c r="H48" s="93"/>
      <c r="I48" s="93"/>
      <c r="J48" s="93"/>
      <c r="K48" s="93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>
      <c r="A49" s="93"/>
      <c r="B49" s="74" t="s">
        <v>494</v>
      </c>
      <c r="C49" s="75" t="s">
        <v>62</v>
      </c>
      <c r="D49" s="75">
        <v>2009</v>
      </c>
      <c r="E49" s="93"/>
      <c r="F49" s="93"/>
      <c r="G49" s="93"/>
      <c r="H49" s="93"/>
      <c r="I49" s="93"/>
      <c r="J49" s="93"/>
      <c r="K49" s="93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>
      <c r="A50" s="94"/>
      <c r="B50" s="74" t="s">
        <v>495</v>
      </c>
      <c r="C50" s="75" t="s">
        <v>62</v>
      </c>
      <c r="D50" s="75">
        <v>2009</v>
      </c>
      <c r="E50" s="94"/>
      <c r="F50" s="94"/>
      <c r="G50" s="94"/>
      <c r="H50" s="94"/>
      <c r="I50" s="94"/>
      <c r="J50" s="94"/>
      <c r="K50" s="94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>
      <c r="A51" s="103">
        <v>2</v>
      </c>
      <c r="B51" s="74" t="s">
        <v>496</v>
      </c>
      <c r="C51" s="75" t="s">
        <v>21</v>
      </c>
      <c r="D51" s="75">
        <v>2011</v>
      </c>
      <c r="E51" s="103">
        <v>82</v>
      </c>
      <c r="F51" s="103">
        <v>80</v>
      </c>
      <c r="G51" s="103">
        <v>80</v>
      </c>
      <c r="H51" s="103">
        <v>82</v>
      </c>
      <c r="I51" s="103">
        <v>80</v>
      </c>
      <c r="J51" s="103">
        <v>242</v>
      </c>
      <c r="K51" s="104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>
      <c r="A52" s="93"/>
      <c r="B52" s="74" t="s">
        <v>497</v>
      </c>
      <c r="C52" s="75" t="s">
        <v>21</v>
      </c>
      <c r="D52" s="75">
        <v>2012</v>
      </c>
      <c r="E52" s="93"/>
      <c r="F52" s="93"/>
      <c r="G52" s="93"/>
      <c r="H52" s="93"/>
      <c r="I52" s="93"/>
      <c r="J52" s="93"/>
      <c r="K52" s="93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>
      <c r="A53" s="93"/>
      <c r="B53" s="74" t="s">
        <v>498</v>
      </c>
      <c r="C53" s="75" t="s">
        <v>21</v>
      </c>
      <c r="D53" s="75">
        <v>2011</v>
      </c>
      <c r="E53" s="93"/>
      <c r="F53" s="93"/>
      <c r="G53" s="93"/>
      <c r="H53" s="93"/>
      <c r="I53" s="93"/>
      <c r="J53" s="93"/>
      <c r="K53" s="93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>
      <c r="A54" s="93"/>
      <c r="B54" s="74" t="s">
        <v>499</v>
      </c>
      <c r="C54" s="75" t="s">
        <v>21</v>
      </c>
      <c r="D54" s="75">
        <v>2011</v>
      </c>
      <c r="E54" s="93"/>
      <c r="F54" s="93"/>
      <c r="G54" s="93"/>
      <c r="H54" s="93"/>
      <c r="I54" s="93"/>
      <c r="J54" s="93"/>
      <c r="K54" s="93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>
      <c r="A55" s="94"/>
      <c r="B55" s="74" t="s">
        <v>469</v>
      </c>
      <c r="C55" s="75" t="s">
        <v>21</v>
      </c>
      <c r="D55" s="75">
        <v>2013</v>
      </c>
      <c r="E55" s="94"/>
      <c r="F55" s="94"/>
      <c r="G55" s="94"/>
      <c r="H55" s="94"/>
      <c r="I55" s="94"/>
      <c r="J55" s="94"/>
      <c r="K55" s="94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>
      <c r="A56" s="103">
        <v>3</v>
      </c>
      <c r="B56" s="74" t="s">
        <v>500</v>
      </c>
      <c r="C56" s="87" t="s">
        <v>27</v>
      </c>
      <c r="D56" s="75">
        <v>2011</v>
      </c>
      <c r="E56" s="103">
        <v>83</v>
      </c>
      <c r="F56" s="103">
        <v>83</v>
      </c>
      <c r="G56" s="103">
        <v>81</v>
      </c>
      <c r="H56" s="103">
        <v>84</v>
      </c>
      <c r="I56" s="103">
        <v>82</v>
      </c>
      <c r="J56" s="103">
        <v>248</v>
      </c>
      <c r="K56" s="105" t="s">
        <v>460</v>
      </c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>
      <c r="A57" s="93"/>
      <c r="B57" s="74" t="s">
        <v>471</v>
      </c>
      <c r="C57" s="87" t="s">
        <v>27</v>
      </c>
      <c r="D57" s="75">
        <v>2012</v>
      </c>
      <c r="E57" s="93"/>
      <c r="F57" s="93"/>
      <c r="G57" s="93"/>
      <c r="H57" s="93"/>
      <c r="I57" s="93"/>
      <c r="J57" s="93"/>
      <c r="K57" s="93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>
      <c r="A58" s="93"/>
      <c r="B58" s="74" t="s">
        <v>501</v>
      </c>
      <c r="C58" s="87" t="s">
        <v>27</v>
      </c>
      <c r="D58" s="75">
        <v>2012</v>
      </c>
      <c r="E58" s="93"/>
      <c r="F58" s="93"/>
      <c r="G58" s="93"/>
      <c r="H58" s="93"/>
      <c r="I58" s="93"/>
      <c r="J58" s="93"/>
      <c r="K58" s="93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>
      <c r="A59" s="93"/>
      <c r="B59" s="74" t="s">
        <v>502</v>
      </c>
      <c r="C59" s="87" t="s">
        <v>27</v>
      </c>
      <c r="D59" s="75">
        <v>2009</v>
      </c>
      <c r="E59" s="93"/>
      <c r="F59" s="93"/>
      <c r="G59" s="93"/>
      <c r="H59" s="93"/>
      <c r="I59" s="93"/>
      <c r="J59" s="93"/>
      <c r="K59" s="93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>
      <c r="A60" s="94"/>
      <c r="B60" s="74" t="s">
        <v>503</v>
      </c>
      <c r="C60" s="87" t="s">
        <v>27</v>
      </c>
      <c r="D60" s="75">
        <v>2013</v>
      </c>
      <c r="E60" s="94"/>
      <c r="F60" s="94"/>
      <c r="G60" s="94"/>
      <c r="H60" s="94"/>
      <c r="I60" s="94"/>
      <c r="J60" s="94"/>
      <c r="K60" s="94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>
      <c r="A61" s="103">
        <v>4</v>
      </c>
      <c r="B61" s="74" t="s">
        <v>488</v>
      </c>
      <c r="C61" s="75" t="s">
        <v>13</v>
      </c>
      <c r="D61" s="75">
        <v>2013</v>
      </c>
      <c r="E61" s="103">
        <v>85</v>
      </c>
      <c r="F61" s="103">
        <v>84</v>
      </c>
      <c r="G61" s="103">
        <v>85</v>
      </c>
      <c r="H61" s="103">
        <v>85</v>
      </c>
      <c r="I61" s="103">
        <v>83</v>
      </c>
      <c r="J61" s="103">
        <v>254</v>
      </c>
      <c r="K61" s="107" t="s">
        <v>466</v>
      </c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>
      <c r="A62" s="93"/>
      <c r="B62" s="74" t="s">
        <v>489</v>
      </c>
      <c r="C62" s="75" t="s">
        <v>13</v>
      </c>
      <c r="D62" s="75">
        <v>2013</v>
      </c>
      <c r="E62" s="93"/>
      <c r="F62" s="93"/>
      <c r="G62" s="93"/>
      <c r="H62" s="93"/>
      <c r="I62" s="93"/>
      <c r="J62" s="93"/>
      <c r="K62" s="93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>
      <c r="A63" s="93"/>
      <c r="B63" s="74" t="s">
        <v>504</v>
      </c>
      <c r="C63" s="75" t="s">
        <v>13</v>
      </c>
      <c r="D63" s="75">
        <v>2013</v>
      </c>
      <c r="E63" s="93"/>
      <c r="F63" s="93"/>
      <c r="G63" s="93"/>
      <c r="H63" s="93"/>
      <c r="I63" s="93"/>
      <c r="J63" s="93"/>
      <c r="K63" s="93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>
      <c r="A64" s="93"/>
      <c r="B64" s="74" t="s">
        <v>470</v>
      </c>
      <c r="C64" s="75" t="s">
        <v>13</v>
      </c>
      <c r="D64" s="75">
        <v>2013</v>
      </c>
      <c r="E64" s="93"/>
      <c r="F64" s="93"/>
      <c r="G64" s="93"/>
      <c r="H64" s="93"/>
      <c r="I64" s="93"/>
      <c r="J64" s="93"/>
      <c r="K64" s="93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>
      <c r="A65" s="94"/>
      <c r="B65" s="74" t="s">
        <v>505</v>
      </c>
      <c r="C65" s="75" t="s">
        <v>13</v>
      </c>
      <c r="D65" s="75">
        <v>2015</v>
      </c>
      <c r="E65" s="94"/>
      <c r="F65" s="94"/>
      <c r="G65" s="94"/>
      <c r="H65" s="94"/>
      <c r="I65" s="94"/>
      <c r="J65" s="94"/>
      <c r="K65" s="94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>
      <c r="A66" s="103">
        <v>5</v>
      </c>
      <c r="B66" s="74" t="s">
        <v>506</v>
      </c>
      <c r="C66" s="75" t="s">
        <v>40</v>
      </c>
      <c r="D66" s="75">
        <v>2012</v>
      </c>
      <c r="E66" s="103">
        <v>83</v>
      </c>
      <c r="F66" s="103">
        <v>83</v>
      </c>
      <c r="G66" s="103">
        <v>83</v>
      </c>
      <c r="H66" s="103">
        <v>83</v>
      </c>
      <c r="I66" s="103">
        <v>82</v>
      </c>
      <c r="J66" s="103">
        <v>249</v>
      </c>
      <c r="K66" s="105" t="s">
        <v>460</v>
      </c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>
      <c r="A67" s="93"/>
      <c r="B67" s="74" t="s">
        <v>507</v>
      </c>
      <c r="C67" s="75" t="s">
        <v>40</v>
      </c>
      <c r="D67" s="75">
        <v>2010</v>
      </c>
      <c r="E67" s="93"/>
      <c r="F67" s="93"/>
      <c r="G67" s="93"/>
      <c r="H67" s="93"/>
      <c r="I67" s="93"/>
      <c r="J67" s="93"/>
      <c r="K67" s="93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>
      <c r="A68" s="93"/>
      <c r="B68" s="74" t="s">
        <v>508</v>
      </c>
      <c r="C68" s="75" t="s">
        <v>40</v>
      </c>
      <c r="D68" s="75">
        <v>2009</v>
      </c>
      <c r="E68" s="93"/>
      <c r="F68" s="93"/>
      <c r="G68" s="93"/>
      <c r="H68" s="93"/>
      <c r="I68" s="93"/>
      <c r="J68" s="93"/>
      <c r="K68" s="93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>
      <c r="A69" s="93"/>
      <c r="B69" s="74" t="s">
        <v>509</v>
      </c>
      <c r="C69" s="75" t="s">
        <v>40</v>
      </c>
      <c r="D69" s="75">
        <v>2009</v>
      </c>
      <c r="E69" s="93"/>
      <c r="F69" s="93"/>
      <c r="G69" s="93"/>
      <c r="H69" s="93"/>
      <c r="I69" s="93"/>
      <c r="J69" s="93"/>
      <c r="K69" s="93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>
      <c r="A70" s="94"/>
      <c r="B70" s="74" t="s">
        <v>510</v>
      </c>
      <c r="C70" s="75" t="s">
        <v>40</v>
      </c>
      <c r="D70" s="75">
        <v>2011</v>
      </c>
      <c r="E70" s="94"/>
      <c r="F70" s="94"/>
      <c r="G70" s="94"/>
      <c r="H70" s="94"/>
      <c r="I70" s="94"/>
      <c r="J70" s="94"/>
      <c r="K70" s="94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45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45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45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45">
      <c r="A74" s="53" t="s">
        <v>511</v>
      </c>
      <c r="B74" s="88"/>
      <c r="C74" s="88"/>
      <c r="D74" s="88"/>
      <c r="E74" s="88"/>
      <c r="F74" s="88"/>
      <c r="G74" s="88"/>
      <c r="H74" s="88"/>
      <c r="I74" s="88"/>
      <c r="J74" s="88"/>
      <c r="K74" s="89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45">
      <c r="A75" s="48" t="s">
        <v>453</v>
      </c>
      <c r="B75" s="48" t="s">
        <v>454</v>
      </c>
      <c r="C75" s="48" t="s">
        <v>9</v>
      </c>
      <c r="D75" s="48" t="s">
        <v>455</v>
      </c>
      <c r="E75" s="90" t="s">
        <v>456</v>
      </c>
      <c r="F75" s="91"/>
      <c r="G75" s="91"/>
      <c r="H75" s="91"/>
      <c r="I75" s="92"/>
      <c r="J75" s="48" t="s">
        <v>457</v>
      </c>
      <c r="K75" s="48" t="s">
        <v>458</v>
      </c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>
      <c r="A76" s="93"/>
      <c r="B76" s="93"/>
      <c r="C76" s="93"/>
      <c r="D76" s="93"/>
      <c r="E76" s="7">
        <v>1</v>
      </c>
      <c r="F76" s="7">
        <v>2</v>
      </c>
      <c r="G76" s="7">
        <v>3</v>
      </c>
      <c r="H76" s="7">
        <v>4</v>
      </c>
      <c r="I76" s="7">
        <v>5</v>
      </c>
      <c r="J76" s="93"/>
      <c r="K76" s="93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>
      <c r="A77" s="94"/>
      <c r="B77" s="94"/>
      <c r="C77" s="94"/>
      <c r="D77" s="94"/>
      <c r="E77" s="7" t="s">
        <v>477</v>
      </c>
      <c r="F77" s="7" t="s">
        <v>512</v>
      </c>
      <c r="G77" s="7" t="s">
        <v>493</v>
      </c>
      <c r="H77" s="7" t="s">
        <v>476</v>
      </c>
      <c r="I77" s="7" t="s">
        <v>513</v>
      </c>
      <c r="J77" s="94"/>
      <c r="K77" s="94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>
      <c r="A78" s="75">
        <v>1</v>
      </c>
      <c r="B78" s="74" t="s">
        <v>514</v>
      </c>
      <c r="C78" s="75" t="s">
        <v>19</v>
      </c>
      <c r="D78" s="75">
        <v>2012</v>
      </c>
      <c r="E78" s="75">
        <v>85</v>
      </c>
      <c r="F78" s="75">
        <v>84</v>
      </c>
      <c r="G78" s="75">
        <v>85</v>
      </c>
      <c r="H78" s="75">
        <v>84</v>
      </c>
      <c r="I78" s="75">
        <v>84</v>
      </c>
      <c r="J78" s="75">
        <v>253</v>
      </c>
      <c r="K78" s="95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>
      <c r="A79" s="75">
        <v>2</v>
      </c>
      <c r="B79" s="74" t="s">
        <v>515</v>
      </c>
      <c r="C79" s="75" t="s">
        <v>70</v>
      </c>
      <c r="D79" s="75">
        <v>2009</v>
      </c>
      <c r="E79" s="75">
        <v>87</v>
      </c>
      <c r="F79" s="75">
        <v>86</v>
      </c>
      <c r="G79" s="75">
        <v>86</v>
      </c>
      <c r="H79" s="75">
        <v>85</v>
      </c>
      <c r="I79" s="75">
        <v>86</v>
      </c>
      <c r="J79" s="75">
        <v>258</v>
      </c>
      <c r="K79" s="102" t="s">
        <v>466</v>
      </c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>
      <c r="A80" s="75">
        <v>3</v>
      </c>
      <c r="B80" s="74" t="s">
        <v>516</v>
      </c>
      <c r="C80" s="75" t="s">
        <v>51</v>
      </c>
      <c r="D80" s="75">
        <v>2009</v>
      </c>
      <c r="E80" s="75">
        <v>85</v>
      </c>
      <c r="F80" s="75">
        <v>85</v>
      </c>
      <c r="G80" s="75">
        <v>84</v>
      </c>
      <c r="H80" s="75">
        <v>86</v>
      </c>
      <c r="I80" s="75">
        <v>85</v>
      </c>
      <c r="J80" s="75">
        <v>255</v>
      </c>
      <c r="K80" s="100" t="s">
        <v>460</v>
      </c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>
      <c r="A81" s="75">
        <v>4</v>
      </c>
      <c r="B81" s="74" t="s">
        <v>517</v>
      </c>
      <c r="C81" s="75" t="s">
        <v>101</v>
      </c>
      <c r="D81" s="75">
        <v>2013</v>
      </c>
      <c r="E81" s="75">
        <v>83</v>
      </c>
      <c r="F81" s="75">
        <v>83</v>
      </c>
      <c r="G81" s="75">
        <v>81</v>
      </c>
      <c r="H81" s="75">
        <v>83</v>
      </c>
      <c r="I81" s="75">
        <v>83</v>
      </c>
      <c r="J81" s="75">
        <v>249</v>
      </c>
      <c r="K81" s="95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>
      <c r="A82" s="75">
        <v>5</v>
      </c>
      <c r="B82" s="74" t="s">
        <v>518</v>
      </c>
      <c r="C82" s="75" t="s">
        <v>62</v>
      </c>
      <c r="D82" s="75">
        <v>2010</v>
      </c>
      <c r="E82" s="75">
        <v>88</v>
      </c>
      <c r="F82" s="75">
        <v>87</v>
      </c>
      <c r="G82" s="75">
        <v>86</v>
      </c>
      <c r="H82" s="75">
        <v>87</v>
      </c>
      <c r="I82" s="75">
        <v>86</v>
      </c>
      <c r="J82" s="75">
        <v>260</v>
      </c>
      <c r="K82" s="101" t="s">
        <v>462</v>
      </c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>
      <c r="A83" s="75">
        <v>6</v>
      </c>
      <c r="B83" s="74" t="s">
        <v>519</v>
      </c>
      <c r="C83" s="75" t="s">
        <v>23</v>
      </c>
      <c r="D83" s="75">
        <v>2012</v>
      </c>
      <c r="E83" s="75">
        <v>84</v>
      </c>
      <c r="F83" s="75">
        <v>84</v>
      </c>
      <c r="G83" s="75">
        <v>83</v>
      </c>
      <c r="H83" s="75">
        <v>82</v>
      </c>
      <c r="I83" s="75">
        <v>83</v>
      </c>
      <c r="J83" s="75">
        <v>250</v>
      </c>
      <c r="K83" s="95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>
      <c r="A84" s="75">
        <v>7</v>
      </c>
      <c r="B84" s="74" t="s">
        <v>520</v>
      </c>
      <c r="C84" s="75" t="s">
        <v>17</v>
      </c>
      <c r="D84" s="75">
        <v>2010</v>
      </c>
      <c r="E84" s="75">
        <v>84</v>
      </c>
      <c r="F84" s="75">
        <v>84</v>
      </c>
      <c r="G84" s="75">
        <v>83</v>
      </c>
      <c r="H84" s="75">
        <v>85</v>
      </c>
      <c r="I84" s="75">
        <v>84</v>
      </c>
      <c r="J84" s="75">
        <v>252</v>
      </c>
      <c r="K84" s="95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>
      <c r="A85" s="75">
        <v>8</v>
      </c>
      <c r="B85" s="74" t="s">
        <v>521</v>
      </c>
      <c r="C85" s="75" t="s">
        <v>76</v>
      </c>
      <c r="D85" s="75">
        <v>2010</v>
      </c>
      <c r="E85" s="75">
        <v>83</v>
      </c>
      <c r="F85" s="75">
        <v>83</v>
      </c>
      <c r="G85" s="75">
        <v>82</v>
      </c>
      <c r="H85" s="75">
        <v>84</v>
      </c>
      <c r="I85" s="75">
        <v>83</v>
      </c>
      <c r="J85" s="75">
        <v>249</v>
      </c>
      <c r="K85" s="95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>
      <c r="A86" s="75">
        <v>9</v>
      </c>
      <c r="B86" s="74" t="s">
        <v>522</v>
      </c>
      <c r="C86" s="75" t="s">
        <v>88</v>
      </c>
      <c r="D86" s="75">
        <v>2009</v>
      </c>
      <c r="E86" s="75">
        <v>82</v>
      </c>
      <c r="F86" s="75">
        <v>81</v>
      </c>
      <c r="G86" s="75">
        <v>80</v>
      </c>
      <c r="H86" s="75">
        <v>81</v>
      </c>
      <c r="I86" s="75">
        <v>82</v>
      </c>
      <c r="J86" s="75">
        <v>244</v>
      </c>
      <c r="K86" s="95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>
      <c r="A87" s="75">
        <v>10</v>
      </c>
      <c r="B87" s="74" t="s">
        <v>523</v>
      </c>
      <c r="C87" s="87" t="s">
        <v>27</v>
      </c>
      <c r="D87" s="75">
        <v>2011</v>
      </c>
      <c r="E87" s="75">
        <v>86</v>
      </c>
      <c r="F87" s="75">
        <v>84</v>
      </c>
      <c r="G87" s="75">
        <v>85</v>
      </c>
      <c r="H87" s="75">
        <v>86</v>
      </c>
      <c r="I87" s="75">
        <v>84</v>
      </c>
      <c r="J87" s="75">
        <v>255</v>
      </c>
      <c r="K87" s="100" t="s">
        <v>460</v>
      </c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>
      <c r="A88" s="75">
        <v>11</v>
      </c>
      <c r="B88" s="74" t="s">
        <v>524</v>
      </c>
      <c r="C88" s="75" t="s">
        <v>13</v>
      </c>
      <c r="D88" s="75">
        <v>2013</v>
      </c>
      <c r="E88" s="75">
        <v>85</v>
      </c>
      <c r="F88" s="75">
        <v>84</v>
      </c>
      <c r="G88" s="75">
        <v>84</v>
      </c>
      <c r="H88" s="75">
        <v>85</v>
      </c>
      <c r="I88" s="75">
        <v>83</v>
      </c>
      <c r="J88" s="75">
        <v>253</v>
      </c>
      <c r="K88" s="95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>
      <c r="A89" s="75">
        <v>12</v>
      </c>
      <c r="B89" s="74" t="s">
        <v>525</v>
      </c>
      <c r="C89" s="75" t="s">
        <v>48</v>
      </c>
      <c r="D89" s="75">
        <v>2010</v>
      </c>
      <c r="E89" s="75">
        <v>82</v>
      </c>
      <c r="F89" s="75">
        <v>82</v>
      </c>
      <c r="G89" s="75">
        <v>81</v>
      </c>
      <c r="H89" s="75">
        <v>81</v>
      </c>
      <c r="I89" s="75">
        <v>82</v>
      </c>
      <c r="J89" s="75">
        <v>245</v>
      </c>
      <c r="K89" s="95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>
      <c r="A90" s="75">
        <v>13</v>
      </c>
      <c r="B90" s="74" t="s">
        <v>526</v>
      </c>
      <c r="C90" s="75" t="s">
        <v>34</v>
      </c>
      <c r="D90" s="75">
        <v>2011</v>
      </c>
      <c r="E90" s="75">
        <v>82</v>
      </c>
      <c r="F90" s="75">
        <v>81</v>
      </c>
      <c r="G90" s="75">
        <v>80</v>
      </c>
      <c r="H90" s="75">
        <v>80</v>
      </c>
      <c r="I90" s="75">
        <v>82</v>
      </c>
      <c r="J90" s="75">
        <v>243</v>
      </c>
      <c r="K90" s="95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>
      <c r="A91" s="75">
        <v>14</v>
      </c>
      <c r="B91" s="74" t="s">
        <v>527</v>
      </c>
      <c r="C91" s="75" t="s">
        <v>15</v>
      </c>
      <c r="D91" s="75">
        <v>2009</v>
      </c>
      <c r="E91" s="75">
        <v>83</v>
      </c>
      <c r="F91" s="75">
        <v>82</v>
      </c>
      <c r="G91" s="75">
        <v>82</v>
      </c>
      <c r="H91" s="75">
        <v>83</v>
      </c>
      <c r="I91" s="75">
        <v>83</v>
      </c>
      <c r="J91" s="75">
        <v>248</v>
      </c>
      <c r="K91" s="95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>
      <c r="A92" s="75">
        <v>15</v>
      </c>
      <c r="B92" s="74" t="s">
        <v>528</v>
      </c>
      <c r="C92" s="75" t="s">
        <v>40</v>
      </c>
      <c r="D92" s="75">
        <v>2010</v>
      </c>
      <c r="E92" s="75">
        <v>85</v>
      </c>
      <c r="F92" s="75">
        <v>85</v>
      </c>
      <c r="G92" s="75">
        <v>84</v>
      </c>
      <c r="H92" s="75">
        <v>84</v>
      </c>
      <c r="I92" s="75">
        <v>84</v>
      </c>
      <c r="J92" s="75">
        <v>253</v>
      </c>
      <c r="K92" s="95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>
      <c r="A93" s="75">
        <v>16</v>
      </c>
      <c r="B93" s="74" t="s">
        <v>529</v>
      </c>
      <c r="C93" s="75" t="s">
        <v>21</v>
      </c>
      <c r="D93" s="75">
        <v>2009</v>
      </c>
      <c r="E93" s="75">
        <v>83</v>
      </c>
      <c r="F93" s="75">
        <v>83</v>
      </c>
      <c r="G93" s="75">
        <v>82</v>
      </c>
      <c r="H93" s="75">
        <v>82</v>
      </c>
      <c r="I93" s="75">
        <v>83</v>
      </c>
      <c r="J93" s="75">
        <v>248</v>
      </c>
      <c r="K93" s="95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45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4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45">
      <c r="A96" s="53" t="s">
        <v>530</v>
      </c>
      <c r="B96" s="88"/>
      <c r="C96" s="88"/>
      <c r="D96" s="88"/>
      <c r="E96" s="88"/>
      <c r="F96" s="88"/>
      <c r="G96" s="88"/>
      <c r="H96" s="88"/>
      <c r="I96" s="88"/>
      <c r="J96" s="88"/>
      <c r="K96" s="89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45">
      <c r="A97" s="48" t="s">
        <v>453</v>
      </c>
      <c r="B97" s="48" t="s">
        <v>454</v>
      </c>
      <c r="C97" s="48" t="s">
        <v>9</v>
      </c>
      <c r="D97" s="48" t="s">
        <v>455</v>
      </c>
      <c r="E97" s="90" t="s">
        <v>456</v>
      </c>
      <c r="F97" s="91"/>
      <c r="G97" s="91"/>
      <c r="H97" s="91"/>
      <c r="I97" s="92"/>
      <c r="J97" s="48" t="s">
        <v>457</v>
      </c>
      <c r="K97" s="48" t="s">
        <v>458</v>
      </c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>
      <c r="A98" s="93"/>
      <c r="B98" s="93"/>
      <c r="C98" s="93"/>
      <c r="D98" s="93"/>
      <c r="E98" s="7">
        <v>1</v>
      </c>
      <c r="F98" s="7">
        <v>2</v>
      </c>
      <c r="G98" s="7">
        <v>3</v>
      </c>
      <c r="H98" s="7">
        <v>4</v>
      </c>
      <c r="I98" s="7">
        <v>5</v>
      </c>
      <c r="J98" s="93"/>
      <c r="K98" s="93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>
      <c r="A99" s="94"/>
      <c r="B99" s="94"/>
      <c r="C99" s="94"/>
      <c r="D99" s="94"/>
      <c r="E99" s="7" t="s">
        <v>531</v>
      </c>
      <c r="F99" s="7" t="s">
        <v>532</v>
      </c>
      <c r="G99" s="7" t="s">
        <v>474</v>
      </c>
      <c r="H99" s="7" t="s">
        <v>476</v>
      </c>
      <c r="I99" s="7" t="s">
        <v>475</v>
      </c>
      <c r="J99" s="94"/>
      <c r="K99" s="94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>
      <c r="A100" s="103">
        <v>1</v>
      </c>
      <c r="B100" s="74" t="s">
        <v>533</v>
      </c>
      <c r="C100" s="75" t="s">
        <v>21</v>
      </c>
      <c r="D100" s="75">
        <v>2011</v>
      </c>
      <c r="E100" s="103">
        <v>82</v>
      </c>
      <c r="F100" s="103">
        <v>82</v>
      </c>
      <c r="G100" s="103">
        <v>82</v>
      </c>
      <c r="H100" s="103">
        <v>81</v>
      </c>
      <c r="I100" s="103">
        <v>82</v>
      </c>
      <c r="J100" s="103">
        <v>246</v>
      </c>
      <c r="K100" s="104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>
      <c r="A101" s="93"/>
      <c r="B101" s="74" t="s">
        <v>534</v>
      </c>
      <c r="C101" s="75" t="s">
        <v>21</v>
      </c>
      <c r="D101" s="75">
        <v>2011</v>
      </c>
      <c r="E101" s="93"/>
      <c r="F101" s="93"/>
      <c r="G101" s="93"/>
      <c r="H101" s="93"/>
      <c r="I101" s="93"/>
      <c r="J101" s="93"/>
      <c r="K101" s="93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>
      <c r="A102" s="93"/>
      <c r="B102" s="74" t="s">
        <v>535</v>
      </c>
      <c r="C102" s="75" t="s">
        <v>21</v>
      </c>
      <c r="D102" s="75">
        <v>2011</v>
      </c>
      <c r="E102" s="93"/>
      <c r="F102" s="93"/>
      <c r="G102" s="93"/>
      <c r="H102" s="93"/>
      <c r="I102" s="93"/>
      <c r="J102" s="93"/>
      <c r="K102" s="93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>
      <c r="A103" s="93"/>
      <c r="B103" s="74" t="s">
        <v>536</v>
      </c>
      <c r="C103" s="75" t="s">
        <v>21</v>
      </c>
      <c r="D103" s="75">
        <v>2009</v>
      </c>
      <c r="E103" s="93"/>
      <c r="F103" s="93"/>
      <c r="G103" s="93"/>
      <c r="H103" s="93"/>
      <c r="I103" s="93"/>
      <c r="J103" s="93"/>
      <c r="K103" s="93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>
      <c r="A104" s="94"/>
      <c r="B104" s="74" t="s">
        <v>529</v>
      </c>
      <c r="C104" s="75" t="s">
        <v>21</v>
      </c>
      <c r="D104" s="75">
        <v>2009</v>
      </c>
      <c r="E104" s="94"/>
      <c r="F104" s="94"/>
      <c r="G104" s="94"/>
      <c r="H104" s="94"/>
      <c r="I104" s="94"/>
      <c r="J104" s="94"/>
      <c r="K104" s="94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>
      <c r="A105" s="103">
        <v>2</v>
      </c>
      <c r="B105" s="74" t="s">
        <v>537</v>
      </c>
      <c r="C105" s="87" t="s">
        <v>27</v>
      </c>
      <c r="D105" s="75">
        <v>2013</v>
      </c>
      <c r="E105" s="103">
        <v>85</v>
      </c>
      <c r="F105" s="103">
        <v>86</v>
      </c>
      <c r="G105" s="103">
        <v>85</v>
      </c>
      <c r="H105" s="103">
        <v>85</v>
      </c>
      <c r="I105" s="103">
        <v>84</v>
      </c>
      <c r="J105" s="103">
        <v>255</v>
      </c>
      <c r="K105" s="105" t="s">
        <v>460</v>
      </c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>
      <c r="A106" s="93"/>
      <c r="B106" s="74" t="s">
        <v>538</v>
      </c>
      <c r="C106" s="87" t="s">
        <v>27</v>
      </c>
      <c r="D106" s="75">
        <v>2011</v>
      </c>
      <c r="E106" s="93"/>
      <c r="F106" s="93"/>
      <c r="G106" s="93"/>
      <c r="H106" s="93"/>
      <c r="I106" s="93"/>
      <c r="J106" s="93"/>
      <c r="K106" s="93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>
      <c r="A107" s="93"/>
      <c r="B107" s="74" t="s">
        <v>523</v>
      </c>
      <c r="C107" s="87" t="s">
        <v>27</v>
      </c>
      <c r="D107" s="75">
        <v>2011</v>
      </c>
      <c r="E107" s="93"/>
      <c r="F107" s="93"/>
      <c r="G107" s="93"/>
      <c r="H107" s="93"/>
      <c r="I107" s="93"/>
      <c r="J107" s="93"/>
      <c r="K107" s="93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>
      <c r="A108" s="93"/>
      <c r="B108" s="74" t="s">
        <v>539</v>
      </c>
      <c r="C108" s="87" t="s">
        <v>27</v>
      </c>
      <c r="D108" s="75">
        <v>2013</v>
      </c>
      <c r="E108" s="93"/>
      <c r="F108" s="93"/>
      <c r="G108" s="93"/>
      <c r="H108" s="93"/>
      <c r="I108" s="93"/>
      <c r="J108" s="93"/>
      <c r="K108" s="93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>
      <c r="A109" s="94"/>
      <c r="B109" s="74" t="s">
        <v>540</v>
      </c>
      <c r="C109" s="87" t="s">
        <v>27</v>
      </c>
      <c r="D109" s="75">
        <v>2013</v>
      </c>
      <c r="E109" s="94"/>
      <c r="F109" s="94"/>
      <c r="G109" s="94"/>
      <c r="H109" s="94"/>
      <c r="I109" s="94"/>
      <c r="J109" s="94"/>
      <c r="K109" s="94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>
      <c r="A110" s="103">
        <v>3</v>
      </c>
      <c r="B110" s="74" t="s">
        <v>541</v>
      </c>
      <c r="C110" s="75" t="s">
        <v>17</v>
      </c>
      <c r="D110" s="75">
        <v>2012</v>
      </c>
      <c r="E110" s="103">
        <v>84</v>
      </c>
      <c r="F110" s="103">
        <v>84</v>
      </c>
      <c r="G110" s="103">
        <v>84</v>
      </c>
      <c r="H110" s="103">
        <v>84</v>
      </c>
      <c r="I110" s="103">
        <v>85</v>
      </c>
      <c r="J110" s="103">
        <v>252</v>
      </c>
      <c r="K110" s="104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>
      <c r="A111" s="93"/>
      <c r="B111" s="74" t="s">
        <v>542</v>
      </c>
      <c r="C111" s="75" t="s">
        <v>17</v>
      </c>
      <c r="D111" s="75">
        <v>2011</v>
      </c>
      <c r="E111" s="93"/>
      <c r="F111" s="93"/>
      <c r="G111" s="93"/>
      <c r="H111" s="93"/>
      <c r="I111" s="93"/>
      <c r="J111" s="93"/>
      <c r="K111" s="93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>
      <c r="A112" s="93"/>
      <c r="B112" s="74" t="s">
        <v>543</v>
      </c>
      <c r="C112" s="75" t="s">
        <v>17</v>
      </c>
      <c r="D112" s="75">
        <v>2012</v>
      </c>
      <c r="E112" s="93"/>
      <c r="F112" s="93"/>
      <c r="G112" s="93"/>
      <c r="H112" s="93"/>
      <c r="I112" s="93"/>
      <c r="J112" s="93"/>
      <c r="K112" s="93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>
      <c r="A113" s="93"/>
      <c r="B113" s="74" t="s">
        <v>520</v>
      </c>
      <c r="C113" s="75" t="s">
        <v>17</v>
      </c>
      <c r="D113" s="75">
        <v>2010</v>
      </c>
      <c r="E113" s="93"/>
      <c r="F113" s="93"/>
      <c r="G113" s="93"/>
      <c r="H113" s="93"/>
      <c r="I113" s="93"/>
      <c r="J113" s="93"/>
      <c r="K113" s="93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>
      <c r="A114" s="94"/>
      <c r="B114" s="74" t="s">
        <v>544</v>
      </c>
      <c r="C114" s="75" t="s">
        <v>17</v>
      </c>
      <c r="D114" s="75">
        <v>2010</v>
      </c>
      <c r="E114" s="94"/>
      <c r="F114" s="94"/>
      <c r="G114" s="94"/>
      <c r="H114" s="94"/>
      <c r="I114" s="94"/>
      <c r="J114" s="94"/>
      <c r="K114" s="94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>
      <c r="A115" s="103">
        <v>4</v>
      </c>
      <c r="B115" s="74" t="s">
        <v>524</v>
      </c>
      <c r="C115" s="75" t="s">
        <v>13</v>
      </c>
      <c r="D115" s="75">
        <v>2013</v>
      </c>
      <c r="E115" s="103">
        <v>85</v>
      </c>
      <c r="F115" s="103">
        <v>85</v>
      </c>
      <c r="G115" s="103">
        <v>85</v>
      </c>
      <c r="H115" s="103">
        <v>86</v>
      </c>
      <c r="I115" s="103">
        <v>86</v>
      </c>
      <c r="J115" s="103">
        <v>256</v>
      </c>
      <c r="K115" s="107" t="s">
        <v>466</v>
      </c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>
      <c r="A116" s="93"/>
      <c r="B116" s="74" t="s">
        <v>545</v>
      </c>
      <c r="C116" s="75" t="s">
        <v>13</v>
      </c>
      <c r="D116" s="75">
        <v>2014</v>
      </c>
      <c r="E116" s="93"/>
      <c r="F116" s="93"/>
      <c r="G116" s="93"/>
      <c r="H116" s="93"/>
      <c r="I116" s="93"/>
      <c r="J116" s="93"/>
      <c r="K116" s="93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>
      <c r="A117" s="93"/>
      <c r="B117" s="74" t="s">
        <v>546</v>
      </c>
      <c r="C117" s="75" t="s">
        <v>13</v>
      </c>
      <c r="D117" s="75">
        <v>2013</v>
      </c>
      <c r="E117" s="93"/>
      <c r="F117" s="93"/>
      <c r="G117" s="93"/>
      <c r="H117" s="93"/>
      <c r="I117" s="93"/>
      <c r="J117" s="93"/>
      <c r="K117" s="93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>
      <c r="A118" s="93"/>
      <c r="B118" s="74" t="s">
        <v>547</v>
      </c>
      <c r="C118" s="75" t="s">
        <v>13</v>
      </c>
      <c r="D118" s="75">
        <v>2015</v>
      </c>
      <c r="E118" s="93"/>
      <c r="F118" s="93"/>
      <c r="G118" s="93"/>
      <c r="H118" s="93"/>
      <c r="I118" s="93"/>
      <c r="J118" s="93"/>
      <c r="K118" s="93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>
      <c r="A119" s="94"/>
      <c r="B119" s="74" t="s">
        <v>548</v>
      </c>
      <c r="C119" s="75" t="s">
        <v>13</v>
      </c>
      <c r="D119" s="75">
        <v>2013</v>
      </c>
      <c r="E119" s="94"/>
      <c r="F119" s="94"/>
      <c r="G119" s="94"/>
      <c r="H119" s="94"/>
      <c r="I119" s="94"/>
      <c r="J119" s="94"/>
      <c r="K119" s="94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>
      <c r="A120" s="103">
        <v>5</v>
      </c>
      <c r="B120" s="74" t="s">
        <v>549</v>
      </c>
      <c r="C120" s="75" t="s">
        <v>15</v>
      </c>
      <c r="D120" s="75">
        <v>2012</v>
      </c>
      <c r="E120" s="103">
        <v>83</v>
      </c>
      <c r="F120" s="103">
        <v>82</v>
      </c>
      <c r="G120" s="103">
        <v>83</v>
      </c>
      <c r="H120" s="103">
        <v>83</v>
      </c>
      <c r="I120" s="103">
        <v>84</v>
      </c>
      <c r="J120" s="103">
        <v>249</v>
      </c>
      <c r="K120" s="104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>
      <c r="A121" s="93"/>
      <c r="B121" s="74" t="s">
        <v>550</v>
      </c>
      <c r="C121" s="75" t="s">
        <v>15</v>
      </c>
      <c r="D121" s="75">
        <v>2010</v>
      </c>
      <c r="E121" s="93"/>
      <c r="F121" s="93"/>
      <c r="G121" s="93"/>
      <c r="H121" s="93"/>
      <c r="I121" s="93"/>
      <c r="J121" s="93"/>
      <c r="K121" s="93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>
      <c r="A122" s="93"/>
      <c r="B122" s="74" t="s">
        <v>551</v>
      </c>
      <c r="C122" s="75" t="s">
        <v>15</v>
      </c>
      <c r="D122" s="75">
        <v>2011</v>
      </c>
      <c r="E122" s="93"/>
      <c r="F122" s="93"/>
      <c r="G122" s="93"/>
      <c r="H122" s="93"/>
      <c r="I122" s="93"/>
      <c r="J122" s="93"/>
      <c r="K122" s="93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>
      <c r="A123" s="93"/>
      <c r="B123" s="74" t="s">
        <v>527</v>
      </c>
      <c r="C123" s="75" t="s">
        <v>15</v>
      </c>
      <c r="D123" s="75">
        <v>2009</v>
      </c>
      <c r="E123" s="93"/>
      <c r="F123" s="93"/>
      <c r="G123" s="93"/>
      <c r="H123" s="93"/>
      <c r="I123" s="93"/>
      <c r="J123" s="93"/>
      <c r="K123" s="93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>
      <c r="A124" s="94"/>
      <c r="B124" s="74" t="s">
        <v>552</v>
      </c>
      <c r="C124" s="75" t="s">
        <v>15</v>
      </c>
      <c r="D124" s="75">
        <v>2010</v>
      </c>
      <c r="E124" s="94"/>
      <c r="F124" s="94"/>
      <c r="G124" s="94"/>
      <c r="H124" s="94"/>
      <c r="I124" s="94"/>
      <c r="J124" s="94"/>
      <c r="K124" s="94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>
      <c r="A125" s="103">
        <v>6</v>
      </c>
      <c r="B125" s="74" t="s">
        <v>553</v>
      </c>
      <c r="C125" s="75" t="s">
        <v>40</v>
      </c>
      <c r="D125" s="75">
        <v>2009</v>
      </c>
      <c r="E125" s="103">
        <v>84</v>
      </c>
      <c r="F125" s="103">
        <v>84</v>
      </c>
      <c r="G125" s="103">
        <v>84</v>
      </c>
      <c r="H125" s="103">
        <v>84</v>
      </c>
      <c r="I125" s="103">
        <v>83</v>
      </c>
      <c r="J125" s="103">
        <v>252</v>
      </c>
      <c r="K125" s="104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>
      <c r="A126" s="93"/>
      <c r="B126" s="74" t="s">
        <v>554</v>
      </c>
      <c r="C126" s="75" t="s">
        <v>40</v>
      </c>
      <c r="D126" s="75">
        <v>2009</v>
      </c>
      <c r="E126" s="93"/>
      <c r="F126" s="93"/>
      <c r="G126" s="93"/>
      <c r="H126" s="93"/>
      <c r="I126" s="93"/>
      <c r="J126" s="93"/>
      <c r="K126" s="93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>
      <c r="A127" s="93"/>
      <c r="B127" s="74" t="s">
        <v>555</v>
      </c>
      <c r="C127" s="75" t="s">
        <v>40</v>
      </c>
      <c r="D127" s="75">
        <v>2009</v>
      </c>
      <c r="E127" s="93"/>
      <c r="F127" s="93"/>
      <c r="G127" s="93"/>
      <c r="H127" s="93"/>
      <c r="I127" s="93"/>
      <c r="J127" s="93"/>
      <c r="K127" s="93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>
      <c r="A128" s="93"/>
      <c r="B128" s="74" t="s">
        <v>556</v>
      </c>
      <c r="C128" s="75" t="s">
        <v>40</v>
      </c>
      <c r="D128" s="75">
        <v>2011</v>
      </c>
      <c r="E128" s="93"/>
      <c r="F128" s="93"/>
      <c r="G128" s="93"/>
      <c r="H128" s="93"/>
      <c r="I128" s="93"/>
      <c r="J128" s="93"/>
      <c r="K128" s="93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>
      <c r="A129" s="94"/>
      <c r="B129" s="74" t="s">
        <v>528</v>
      </c>
      <c r="C129" s="75" t="s">
        <v>40</v>
      </c>
      <c r="D129" s="75">
        <v>2010</v>
      </c>
      <c r="E129" s="94"/>
      <c r="F129" s="94"/>
      <c r="G129" s="94"/>
      <c r="H129" s="94"/>
      <c r="I129" s="94"/>
      <c r="J129" s="94"/>
      <c r="K129" s="94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>
      <c r="A130" s="103">
        <v>7</v>
      </c>
      <c r="B130" s="74" t="s">
        <v>557</v>
      </c>
      <c r="C130" s="75" t="s">
        <v>48</v>
      </c>
      <c r="D130" s="75">
        <v>2011</v>
      </c>
      <c r="E130" s="103">
        <v>81</v>
      </c>
      <c r="F130" s="103">
        <v>81</v>
      </c>
      <c r="G130" s="103">
        <v>82</v>
      </c>
      <c r="H130" s="103">
        <v>80</v>
      </c>
      <c r="I130" s="103">
        <v>82</v>
      </c>
      <c r="J130" s="103">
        <v>244</v>
      </c>
      <c r="K130" s="104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>
      <c r="A131" s="93"/>
      <c r="B131" s="74" t="s">
        <v>558</v>
      </c>
      <c r="C131" s="75" t="s">
        <v>48</v>
      </c>
      <c r="D131" s="75">
        <v>2013</v>
      </c>
      <c r="E131" s="93"/>
      <c r="F131" s="93"/>
      <c r="G131" s="93"/>
      <c r="H131" s="93"/>
      <c r="I131" s="93"/>
      <c r="J131" s="93"/>
      <c r="K131" s="93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>
      <c r="A132" s="93"/>
      <c r="B132" s="74" t="s">
        <v>525</v>
      </c>
      <c r="C132" s="75" t="s">
        <v>48</v>
      </c>
      <c r="D132" s="75">
        <v>2010</v>
      </c>
      <c r="E132" s="93"/>
      <c r="F132" s="93"/>
      <c r="G132" s="93"/>
      <c r="H132" s="93"/>
      <c r="I132" s="93"/>
      <c r="J132" s="93"/>
      <c r="K132" s="93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>
      <c r="A133" s="93"/>
      <c r="B133" s="74" t="s">
        <v>559</v>
      </c>
      <c r="C133" s="75" t="s">
        <v>48</v>
      </c>
      <c r="D133" s="75">
        <v>2011</v>
      </c>
      <c r="E133" s="93"/>
      <c r="F133" s="93"/>
      <c r="G133" s="93"/>
      <c r="H133" s="93"/>
      <c r="I133" s="93"/>
      <c r="J133" s="93"/>
      <c r="K133" s="93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>
      <c r="A134" s="94"/>
      <c r="B134" s="74" t="s">
        <v>560</v>
      </c>
      <c r="C134" s="75" t="s">
        <v>48</v>
      </c>
      <c r="D134" s="75">
        <v>2012</v>
      </c>
      <c r="E134" s="94"/>
      <c r="F134" s="94"/>
      <c r="G134" s="94"/>
      <c r="H134" s="94"/>
      <c r="I134" s="94"/>
      <c r="J134" s="94"/>
      <c r="K134" s="94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>
      <c r="A135" s="103">
        <v>8</v>
      </c>
      <c r="B135" s="74" t="s">
        <v>561</v>
      </c>
      <c r="C135" s="75" t="s">
        <v>19</v>
      </c>
      <c r="D135" s="75">
        <v>2009</v>
      </c>
      <c r="E135" s="103">
        <v>85</v>
      </c>
      <c r="F135" s="103">
        <v>84</v>
      </c>
      <c r="G135" s="103">
        <v>84</v>
      </c>
      <c r="H135" s="103">
        <v>85</v>
      </c>
      <c r="I135" s="103">
        <v>86</v>
      </c>
      <c r="J135" s="103">
        <v>254</v>
      </c>
      <c r="K135" s="105" t="s">
        <v>460</v>
      </c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>
      <c r="A136" s="93"/>
      <c r="B136" s="74" t="s">
        <v>562</v>
      </c>
      <c r="C136" s="75" t="s">
        <v>19</v>
      </c>
      <c r="D136" s="75">
        <v>2009</v>
      </c>
      <c r="E136" s="93"/>
      <c r="F136" s="93"/>
      <c r="G136" s="93"/>
      <c r="H136" s="93"/>
      <c r="I136" s="93"/>
      <c r="J136" s="93"/>
      <c r="K136" s="93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>
      <c r="A137" s="93"/>
      <c r="B137" s="74" t="s">
        <v>563</v>
      </c>
      <c r="C137" s="75" t="s">
        <v>19</v>
      </c>
      <c r="D137" s="75">
        <v>2014</v>
      </c>
      <c r="E137" s="93"/>
      <c r="F137" s="93"/>
      <c r="G137" s="93"/>
      <c r="H137" s="93"/>
      <c r="I137" s="93"/>
      <c r="J137" s="93"/>
      <c r="K137" s="93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>
      <c r="A138" s="93"/>
      <c r="B138" s="74" t="s">
        <v>564</v>
      </c>
      <c r="C138" s="75" t="s">
        <v>19</v>
      </c>
      <c r="D138" s="75">
        <v>2013</v>
      </c>
      <c r="E138" s="93"/>
      <c r="F138" s="93"/>
      <c r="G138" s="93"/>
      <c r="H138" s="93"/>
      <c r="I138" s="93"/>
      <c r="J138" s="93"/>
      <c r="K138" s="93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>
      <c r="A139" s="94"/>
      <c r="B139" s="74" t="s">
        <v>565</v>
      </c>
      <c r="C139" s="75" t="s">
        <v>19</v>
      </c>
      <c r="D139" s="75">
        <v>2013</v>
      </c>
      <c r="E139" s="94"/>
      <c r="F139" s="94"/>
      <c r="G139" s="94"/>
      <c r="H139" s="94"/>
      <c r="I139" s="94"/>
      <c r="J139" s="94"/>
      <c r="K139" s="94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>
      <c r="A140" s="103">
        <v>9</v>
      </c>
      <c r="B140" s="74" t="s">
        <v>566</v>
      </c>
      <c r="C140" s="75" t="s">
        <v>62</v>
      </c>
      <c r="D140" s="75">
        <v>2011</v>
      </c>
      <c r="E140" s="103">
        <v>87</v>
      </c>
      <c r="F140" s="103">
        <v>86</v>
      </c>
      <c r="G140" s="103">
        <v>86</v>
      </c>
      <c r="H140" s="103">
        <v>88</v>
      </c>
      <c r="I140" s="103">
        <v>87</v>
      </c>
      <c r="J140" s="103">
        <v>260</v>
      </c>
      <c r="K140" s="106" t="s">
        <v>462</v>
      </c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>
      <c r="A141" s="93"/>
      <c r="B141" s="74" t="s">
        <v>567</v>
      </c>
      <c r="C141" s="75" t="s">
        <v>62</v>
      </c>
      <c r="D141" s="75">
        <v>2010</v>
      </c>
      <c r="E141" s="93"/>
      <c r="F141" s="93"/>
      <c r="G141" s="93"/>
      <c r="H141" s="93"/>
      <c r="I141" s="93"/>
      <c r="J141" s="93"/>
      <c r="K141" s="93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>
      <c r="A142" s="93"/>
      <c r="B142" s="74" t="s">
        <v>568</v>
      </c>
      <c r="C142" s="75" t="s">
        <v>62</v>
      </c>
      <c r="D142" s="75">
        <v>2009</v>
      </c>
      <c r="E142" s="93"/>
      <c r="F142" s="93"/>
      <c r="G142" s="93"/>
      <c r="H142" s="93"/>
      <c r="I142" s="93"/>
      <c r="J142" s="93"/>
      <c r="K142" s="93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>
      <c r="A143" s="93"/>
      <c r="B143" s="74" t="s">
        <v>518</v>
      </c>
      <c r="C143" s="75" t="s">
        <v>62</v>
      </c>
      <c r="D143" s="75">
        <v>2010</v>
      </c>
      <c r="E143" s="93"/>
      <c r="F143" s="93"/>
      <c r="G143" s="93"/>
      <c r="H143" s="93"/>
      <c r="I143" s="93"/>
      <c r="J143" s="93"/>
      <c r="K143" s="93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>
      <c r="A144" s="94"/>
      <c r="B144" s="74" t="s">
        <v>569</v>
      </c>
      <c r="C144" s="75" t="s">
        <v>62</v>
      </c>
      <c r="D144" s="75">
        <v>2011</v>
      </c>
      <c r="E144" s="94"/>
      <c r="F144" s="94"/>
      <c r="G144" s="94"/>
      <c r="H144" s="94"/>
      <c r="I144" s="94"/>
      <c r="J144" s="94"/>
      <c r="K144" s="94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>
      <c r="A145" s="108">
        <v>10</v>
      </c>
      <c r="B145" s="109" t="s">
        <v>516</v>
      </c>
      <c r="C145" s="110" t="s">
        <v>51</v>
      </c>
      <c r="D145" s="110">
        <v>2009</v>
      </c>
      <c r="E145" s="103">
        <v>85</v>
      </c>
      <c r="F145" s="103">
        <v>84</v>
      </c>
      <c r="G145" s="103">
        <v>84</v>
      </c>
      <c r="H145" s="103">
        <v>84</v>
      </c>
      <c r="I145" s="103">
        <v>84</v>
      </c>
      <c r="J145" s="103">
        <v>252</v>
      </c>
      <c r="K145" s="104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>
      <c r="A146" s="93"/>
      <c r="B146" s="111" t="s">
        <v>570</v>
      </c>
      <c r="C146" s="112" t="s">
        <v>51</v>
      </c>
      <c r="D146" s="112">
        <v>2010</v>
      </c>
      <c r="E146" s="93"/>
      <c r="F146" s="93"/>
      <c r="G146" s="93"/>
      <c r="H146" s="93"/>
      <c r="I146" s="93"/>
      <c r="J146" s="93"/>
      <c r="K146" s="93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>
      <c r="A147" s="93"/>
      <c r="B147" s="111" t="s">
        <v>571</v>
      </c>
      <c r="C147" s="112" t="s">
        <v>51</v>
      </c>
      <c r="D147" s="112">
        <v>2009</v>
      </c>
      <c r="E147" s="93"/>
      <c r="F147" s="93"/>
      <c r="G147" s="93"/>
      <c r="H147" s="93"/>
      <c r="I147" s="93"/>
      <c r="J147" s="93"/>
      <c r="K147" s="93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>
      <c r="A148" s="93"/>
      <c r="B148" s="111" t="s">
        <v>572</v>
      </c>
      <c r="C148" s="112" t="s">
        <v>51</v>
      </c>
      <c r="D148" s="112">
        <v>2010</v>
      </c>
      <c r="E148" s="93"/>
      <c r="F148" s="93"/>
      <c r="G148" s="93"/>
      <c r="H148" s="93"/>
      <c r="I148" s="93"/>
      <c r="J148" s="93"/>
      <c r="K148" s="93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>
      <c r="A149" s="94"/>
      <c r="B149" s="111" t="s">
        <v>573</v>
      </c>
      <c r="C149" s="112" t="s">
        <v>51</v>
      </c>
      <c r="D149" s="112">
        <v>2010</v>
      </c>
      <c r="E149" s="94"/>
      <c r="F149" s="94"/>
      <c r="G149" s="94"/>
      <c r="H149" s="94"/>
      <c r="I149" s="94"/>
      <c r="J149" s="94"/>
      <c r="K149" s="94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45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45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45">
      <c r="A152" s="53" t="s">
        <v>574</v>
      </c>
      <c r="B152" s="88"/>
      <c r="C152" s="88"/>
      <c r="D152" s="88"/>
      <c r="E152" s="88"/>
      <c r="F152" s="88"/>
      <c r="G152" s="88"/>
      <c r="H152" s="88"/>
      <c r="I152" s="88"/>
      <c r="J152" s="88"/>
      <c r="K152" s="89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45">
      <c r="A153" s="48" t="s">
        <v>453</v>
      </c>
      <c r="B153" s="48" t="s">
        <v>454</v>
      </c>
      <c r="C153" s="48" t="s">
        <v>9</v>
      </c>
      <c r="D153" s="48" t="s">
        <v>455</v>
      </c>
      <c r="E153" s="90" t="s">
        <v>456</v>
      </c>
      <c r="F153" s="91"/>
      <c r="G153" s="91"/>
      <c r="H153" s="91"/>
      <c r="I153" s="92"/>
      <c r="J153" s="48" t="s">
        <v>457</v>
      </c>
      <c r="K153" s="48" t="s">
        <v>458</v>
      </c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>
      <c r="A154" s="93"/>
      <c r="B154" s="93"/>
      <c r="C154" s="93"/>
      <c r="D154" s="93"/>
      <c r="E154" s="7">
        <v>1</v>
      </c>
      <c r="F154" s="7">
        <v>2</v>
      </c>
      <c r="G154" s="7">
        <v>3</v>
      </c>
      <c r="H154" s="7">
        <v>4</v>
      </c>
      <c r="I154" s="7">
        <v>5</v>
      </c>
      <c r="J154" s="93"/>
      <c r="K154" s="93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>
      <c r="A155" s="94"/>
      <c r="B155" s="94"/>
      <c r="C155" s="94"/>
      <c r="D155" s="94"/>
      <c r="E155" s="7" t="s">
        <v>473</v>
      </c>
      <c r="F155" s="7" t="s">
        <v>513</v>
      </c>
      <c r="G155" s="7" t="s">
        <v>475</v>
      </c>
      <c r="H155" s="7" t="s">
        <v>493</v>
      </c>
      <c r="I155" s="7" t="s">
        <v>476</v>
      </c>
      <c r="J155" s="94"/>
      <c r="K155" s="94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>
      <c r="A156" s="103">
        <v>1</v>
      </c>
      <c r="B156" s="74" t="s">
        <v>517</v>
      </c>
      <c r="C156" s="75" t="s">
        <v>101</v>
      </c>
      <c r="D156" s="75">
        <v>2013</v>
      </c>
      <c r="E156" s="103">
        <v>82</v>
      </c>
      <c r="F156" s="103">
        <v>81</v>
      </c>
      <c r="G156" s="103">
        <v>80</v>
      </c>
      <c r="H156" s="103">
        <v>83</v>
      </c>
      <c r="I156" s="103">
        <v>83</v>
      </c>
      <c r="J156" s="103">
        <v>246</v>
      </c>
      <c r="K156" s="104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>
      <c r="A157" s="94"/>
      <c r="B157" s="74" t="s">
        <v>575</v>
      </c>
      <c r="C157" s="75" t="s">
        <v>101</v>
      </c>
      <c r="D157" s="75">
        <v>2013</v>
      </c>
      <c r="E157" s="94"/>
      <c r="F157" s="94"/>
      <c r="G157" s="94"/>
      <c r="H157" s="94"/>
      <c r="I157" s="94"/>
      <c r="J157" s="94"/>
      <c r="K157" s="94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>
      <c r="A158" s="103">
        <v>2</v>
      </c>
      <c r="B158" s="74" t="s">
        <v>515</v>
      </c>
      <c r="C158" s="75" t="s">
        <v>70</v>
      </c>
      <c r="D158" s="75">
        <v>2009</v>
      </c>
      <c r="E158" s="103">
        <v>86</v>
      </c>
      <c r="F158" s="103">
        <v>85</v>
      </c>
      <c r="G158" s="103">
        <v>85</v>
      </c>
      <c r="H158" s="103">
        <v>85</v>
      </c>
      <c r="I158" s="103">
        <v>83</v>
      </c>
      <c r="J158" s="103">
        <v>255</v>
      </c>
      <c r="K158" s="106" t="s">
        <v>462</v>
      </c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>
      <c r="A159" s="94"/>
      <c r="B159" s="74" t="s">
        <v>576</v>
      </c>
      <c r="C159" s="75" t="s">
        <v>70</v>
      </c>
      <c r="D159" s="75">
        <v>2009</v>
      </c>
      <c r="E159" s="94"/>
      <c r="F159" s="94"/>
      <c r="G159" s="94"/>
      <c r="H159" s="94"/>
      <c r="I159" s="94"/>
      <c r="J159" s="94"/>
      <c r="K159" s="94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>
      <c r="A160" s="103">
        <v>3</v>
      </c>
      <c r="B160" s="74" t="s">
        <v>571</v>
      </c>
      <c r="C160" s="75" t="s">
        <v>51</v>
      </c>
      <c r="D160" s="75">
        <v>2009</v>
      </c>
      <c r="E160" s="108">
        <v>81</v>
      </c>
      <c r="F160" s="108">
        <v>80</v>
      </c>
      <c r="G160" s="108">
        <v>80</v>
      </c>
      <c r="H160" s="108">
        <v>80</v>
      </c>
      <c r="I160" s="108">
        <v>80</v>
      </c>
      <c r="J160" s="108">
        <v>240</v>
      </c>
      <c r="K160" s="104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>
      <c r="A161" s="94"/>
      <c r="B161" s="74" t="s">
        <v>572</v>
      </c>
      <c r="C161" s="75" t="s">
        <v>51</v>
      </c>
      <c r="D161" s="75">
        <v>2010</v>
      </c>
      <c r="E161" s="94"/>
      <c r="F161" s="94"/>
      <c r="G161" s="94"/>
      <c r="H161" s="94"/>
      <c r="I161" s="94"/>
      <c r="J161" s="94"/>
      <c r="K161" s="94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>
      <c r="A162" s="103">
        <v>4</v>
      </c>
      <c r="B162" s="74" t="s">
        <v>561</v>
      </c>
      <c r="C162" s="75" t="s">
        <v>19</v>
      </c>
      <c r="D162" s="75">
        <v>2009</v>
      </c>
      <c r="E162" s="113">
        <v>80</v>
      </c>
      <c r="F162" s="113">
        <v>81</v>
      </c>
      <c r="G162" s="113">
        <v>83</v>
      </c>
      <c r="H162" s="113">
        <v>82</v>
      </c>
      <c r="I162" s="113">
        <v>80</v>
      </c>
      <c r="J162" s="113">
        <v>243</v>
      </c>
      <c r="K162" s="104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>
      <c r="A163" s="94"/>
      <c r="B163" s="74" t="s">
        <v>562</v>
      </c>
      <c r="C163" s="75" t="s">
        <v>19</v>
      </c>
      <c r="D163" s="75">
        <v>2009</v>
      </c>
      <c r="E163" s="94"/>
      <c r="F163" s="94"/>
      <c r="G163" s="94"/>
      <c r="H163" s="94"/>
      <c r="I163" s="94"/>
      <c r="J163" s="94"/>
      <c r="K163" s="94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>
      <c r="A164" s="103">
        <v>5</v>
      </c>
      <c r="B164" s="74" t="s">
        <v>566</v>
      </c>
      <c r="C164" s="75" t="s">
        <v>62</v>
      </c>
      <c r="D164" s="75">
        <v>2011</v>
      </c>
      <c r="E164" s="113">
        <v>84</v>
      </c>
      <c r="F164" s="113">
        <v>85</v>
      </c>
      <c r="G164" s="113">
        <v>85</v>
      </c>
      <c r="H164" s="113">
        <v>84</v>
      </c>
      <c r="I164" s="113">
        <v>84</v>
      </c>
      <c r="J164" s="113">
        <v>253</v>
      </c>
      <c r="K164" s="105" t="s">
        <v>460</v>
      </c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>
      <c r="A165" s="94"/>
      <c r="B165" s="74" t="s">
        <v>568</v>
      </c>
      <c r="C165" s="75" t="s">
        <v>62</v>
      </c>
      <c r="D165" s="75">
        <v>2009</v>
      </c>
      <c r="E165" s="94"/>
      <c r="F165" s="94"/>
      <c r="G165" s="94"/>
      <c r="H165" s="94"/>
      <c r="I165" s="94"/>
      <c r="J165" s="94"/>
      <c r="K165" s="94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>
      <c r="A166" s="103">
        <v>6</v>
      </c>
      <c r="B166" s="74" t="s">
        <v>577</v>
      </c>
      <c r="C166" s="87" t="s">
        <v>27</v>
      </c>
      <c r="D166" s="75">
        <v>2012</v>
      </c>
      <c r="E166" s="113">
        <v>85</v>
      </c>
      <c r="F166" s="113">
        <v>85</v>
      </c>
      <c r="G166" s="113">
        <v>85</v>
      </c>
      <c r="H166" s="113">
        <v>84</v>
      </c>
      <c r="I166" s="113">
        <v>83</v>
      </c>
      <c r="J166" s="113">
        <v>254</v>
      </c>
      <c r="K166" s="107" t="s">
        <v>466</v>
      </c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>
      <c r="A167" s="94"/>
      <c r="B167" s="74" t="s">
        <v>578</v>
      </c>
      <c r="C167" s="87" t="s">
        <v>27</v>
      </c>
      <c r="D167" s="75">
        <v>2011</v>
      </c>
      <c r="E167" s="94"/>
      <c r="F167" s="94"/>
      <c r="G167" s="94"/>
      <c r="H167" s="94"/>
      <c r="I167" s="94"/>
      <c r="J167" s="94"/>
      <c r="K167" s="94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>
      <c r="A168" s="103">
        <v>7</v>
      </c>
      <c r="B168" s="74" t="s">
        <v>554</v>
      </c>
      <c r="C168" s="75" t="s">
        <v>40</v>
      </c>
      <c r="D168" s="75">
        <v>2009</v>
      </c>
      <c r="E168" s="113">
        <v>83</v>
      </c>
      <c r="F168" s="113">
        <v>84</v>
      </c>
      <c r="G168" s="113">
        <v>84</v>
      </c>
      <c r="H168" s="113">
        <v>84</v>
      </c>
      <c r="I168" s="113">
        <v>85</v>
      </c>
      <c r="J168" s="113">
        <v>252</v>
      </c>
      <c r="K168" s="104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>
      <c r="A169" s="94"/>
      <c r="B169" s="74" t="s">
        <v>556</v>
      </c>
      <c r="C169" s="75" t="s">
        <v>40</v>
      </c>
      <c r="D169" s="75">
        <v>2011</v>
      </c>
      <c r="E169" s="94"/>
      <c r="F169" s="94"/>
      <c r="G169" s="94"/>
      <c r="H169" s="94"/>
      <c r="I169" s="94"/>
      <c r="J169" s="94"/>
      <c r="K169" s="94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>
      <c r="A170" s="103">
        <v>8</v>
      </c>
      <c r="B170" s="74" t="s">
        <v>519</v>
      </c>
      <c r="C170" s="75" t="s">
        <v>23</v>
      </c>
      <c r="D170" s="75">
        <v>2012</v>
      </c>
      <c r="E170" s="113">
        <v>83</v>
      </c>
      <c r="F170" s="113">
        <v>83</v>
      </c>
      <c r="G170" s="113">
        <v>84</v>
      </c>
      <c r="H170" s="113">
        <v>82</v>
      </c>
      <c r="I170" s="113">
        <v>82</v>
      </c>
      <c r="J170" s="113">
        <v>248</v>
      </c>
      <c r="K170" s="104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>
      <c r="A171" s="94"/>
      <c r="B171" s="74" t="s">
        <v>579</v>
      </c>
      <c r="C171" s="75" t="s">
        <v>23</v>
      </c>
      <c r="D171" s="75">
        <v>2009</v>
      </c>
      <c r="E171" s="94"/>
      <c r="F171" s="94"/>
      <c r="G171" s="94"/>
      <c r="H171" s="94"/>
      <c r="I171" s="94"/>
      <c r="J171" s="94"/>
      <c r="K171" s="94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>
      <c r="A172" s="103">
        <v>9</v>
      </c>
      <c r="B172" s="74" t="s">
        <v>542</v>
      </c>
      <c r="C172" s="75" t="s">
        <v>17</v>
      </c>
      <c r="D172" s="75">
        <v>2011</v>
      </c>
      <c r="E172" s="113">
        <v>84</v>
      </c>
      <c r="F172" s="113">
        <v>85</v>
      </c>
      <c r="G172" s="113">
        <v>85</v>
      </c>
      <c r="H172" s="113">
        <v>84</v>
      </c>
      <c r="I172" s="113">
        <v>84</v>
      </c>
      <c r="J172" s="113">
        <v>253</v>
      </c>
      <c r="K172" s="105" t="s">
        <v>460</v>
      </c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>
      <c r="A173" s="94"/>
      <c r="B173" s="74" t="s">
        <v>580</v>
      </c>
      <c r="C173" s="75" t="s">
        <v>17</v>
      </c>
      <c r="D173" s="75">
        <v>2010</v>
      </c>
      <c r="E173" s="94"/>
      <c r="F173" s="94"/>
      <c r="G173" s="94"/>
      <c r="H173" s="94"/>
      <c r="I173" s="94"/>
      <c r="J173" s="94"/>
      <c r="K173" s="94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45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4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4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45">
      <c r="A177" s="53" t="s">
        <v>581</v>
      </c>
      <c r="B177" s="88"/>
      <c r="C177" s="88"/>
      <c r="D177" s="88"/>
      <c r="E177" s="88"/>
      <c r="F177" s="88"/>
      <c r="G177" s="88"/>
      <c r="H177" s="88"/>
      <c r="I177" s="88"/>
      <c r="J177" s="88"/>
      <c r="K177" s="89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45">
      <c r="A178" s="48" t="s">
        <v>453</v>
      </c>
      <c r="B178" s="48" t="s">
        <v>454</v>
      </c>
      <c r="C178" s="48" t="s">
        <v>9</v>
      </c>
      <c r="D178" s="48" t="s">
        <v>455</v>
      </c>
      <c r="E178" s="90" t="s">
        <v>456</v>
      </c>
      <c r="F178" s="91"/>
      <c r="G178" s="91"/>
      <c r="H178" s="91"/>
      <c r="I178" s="92"/>
      <c r="J178" s="48" t="s">
        <v>457</v>
      </c>
      <c r="K178" s="48" t="s">
        <v>458</v>
      </c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>
      <c r="A179" s="93"/>
      <c r="B179" s="93"/>
      <c r="C179" s="93"/>
      <c r="D179" s="93"/>
      <c r="E179" s="7">
        <v>1</v>
      </c>
      <c r="F179" s="7">
        <v>2</v>
      </c>
      <c r="G179" s="7">
        <v>3</v>
      </c>
      <c r="H179" s="7">
        <v>4</v>
      </c>
      <c r="I179" s="7">
        <v>5</v>
      </c>
      <c r="J179" s="93"/>
      <c r="K179" s="93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45">
      <c r="A180" s="94"/>
      <c r="B180" s="94"/>
      <c r="C180" s="94"/>
      <c r="D180" s="94"/>
      <c r="E180" s="95"/>
      <c r="F180" s="95"/>
      <c r="G180" s="95"/>
      <c r="H180" s="95"/>
      <c r="I180" s="95"/>
      <c r="J180" s="94"/>
      <c r="K180" s="94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>
      <c r="A181" s="73">
        <v>1</v>
      </c>
      <c r="B181" s="74" t="s">
        <v>491</v>
      </c>
      <c r="C181" s="75" t="s">
        <v>17</v>
      </c>
      <c r="D181" s="75">
        <v>2009</v>
      </c>
      <c r="E181" s="76">
        <v>84</v>
      </c>
      <c r="F181" s="76">
        <v>84</v>
      </c>
      <c r="G181" s="76">
        <v>84</v>
      </c>
      <c r="H181" s="76">
        <v>84</v>
      </c>
      <c r="I181" s="76">
        <v>83</v>
      </c>
      <c r="J181" s="76">
        <v>252</v>
      </c>
      <c r="K181" s="77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>
      <c r="A182" s="78"/>
      <c r="B182" s="74" t="s">
        <v>580</v>
      </c>
      <c r="C182" s="75" t="s">
        <v>17</v>
      </c>
      <c r="D182" s="75">
        <v>2010</v>
      </c>
      <c r="E182" s="79"/>
      <c r="F182" s="79"/>
      <c r="G182" s="79"/>
      <c r="H182" s="79"/>
      <c r="I182" s="79"/>
      <c r="J182" s="79"/>
      <c r="K182" s="80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>
      <c r="A183" s="73">
        <v>2</v>
      </c>
      <c r="B183" s="74" t="s">
        <v>566</v>
      </c>
      <c r="C183" s="75" t="s">
        <v>62</v>
      </c>
      <c r="D183" s="75">
        <v>2011</v>
      </c>
      <c r="E183" s="76">
        <v>85</v>
      </c>
      <c r="F183" s="76">
        <v>86</v>
      </c>
      <c r="G183" s="76">
        <v>85</v>
      </c>
      <c r="H183" s="76">
        <v>85</v>
      </c>
      <c r="I183" s="76">
        <v>86</v>
      </c>
      <c r="J183" s="76">
        <v>256</v>
      </c>
      <c r="K183" s="81" t="s">
        <v>466</v>
      </c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>
      <c r="A184" s="78"/>
      <c r="B184" s="74" t="s">
        <v>494</v>
      </c>
      <c r="C184" s="75" t="s">
        <v>62</v>
      </c>
      <c r="D184" s="75">
        <v>2009</v>
      </c>
      <c r="E184" s="79"/>
      <c r="F184" s="79"/>
      <c r="G184" s="79"/>
      <c r="H184" s="79"/>
      <c r="I184" s="79"/>
      <c r="J184" s="79"/>
      <c r="K184" s="82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>
      <c r="A185" s="73">
        <v>3</v>
      </c>
      <c r="B185" s="74" t="s">
        <v>582</v>
      </c>
      <c r="C185" s="75" t="s">
        <v>88</v>
      </c>
      <c r="D185" s="75">
        <v>2010</v>
      </c>
      <c r="E185" s="76">
        <v>82</v>
      </c>
      <c r="F185" s="76">
        <v>80</v>
      </c>
      <c r="G185" s="76">
        <v>82</v>
      </c>
      <c r="H185" s="76">
        <v>81</v>
      </c>
      <c r="I185" s="76">
        <v>82</v>
      </c>
      <c r="J185" s="76">
        <v>245</v>
      </c>
      <c r="K185" s="77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>
      <c r="A186" s="78"/>
      <c r="B186" s="74" t="s">
        <v>583</v>
      </c>
      <c r="C186" s="75" t="s">
        <v>88</v>
      </c>
      <c r="D186" s="75">
        <v>2010</v>
      </c>
      <c r="E186" s="79"/>
      <c r="F186" s="79"/>
      <c r="G186" s="79"/>
      <c r="H186" s="79"/>
      <c r="I186" s="79"/>
      <c r="J186" s="79"/>
      <c r="K186" s="80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>
      <c r="A187" s="73">
        <v>4</v>
      </c>
      <c r="B187" s="74" t="s">
        <v>483</v>
      </c>
      <c r="C187" s="75" t="s">
        <v>101</v>
      </c>
      <c r="D187" s="75">
        <v>2009</v>
      </c>
      <c r="E187" s="76">
        <v>83</v>
      </c>
      <c r="F187" s="76">
        <v>84</v>
      </c>
      <c r="G187" s="76">
        <v>85</v>
      </c>
      <c r="H187" s="76">
        <v>84</v>
      </c>
      <c r="I187" s="76">
        <v>85</v>
      </c>
      <c r="J187" s="76">
        <v>253</v>
      </c>
      <c r="K187" s="83" t="s">
        <v>460</v>
      </c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>
      <c r="A188" s="78"/>
      <c r="B188" s="74" t="s">
        <v>584</v>
      </c>
      <c r="C188" s="75" t="s">
        <v>101</v>
      </c>
      <c r="D188" s="75">
        <v>2010</v>
      </c>
      <c r="E188" s="79"/>
      <c r="F188" s="79"/>
      <c r="G188" s="79"/>
      <c r="H188" s="79"/>
      <c r="I188" s="79"/>
      <c r="J188" s="79"/>
      <c r="K188" s="84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>
      <c r="A189" s="73">
        <v>5</v>
      </c>
      <c r="B189" s="74" t="s">
        <v>585</v>
      </c>
      <c r="C189" s="75" t="s">
        <v>70</v>
      </c>
      <c r="D189" s="75">
        <v>2009</v>
      </c>
      <c r="E189" s="76">
        <v>86</v>
      </c>
      <c r="F189" s="76">
        <v>83</v>
      </c>
      <c r="G189" s="76">
        <v>84</v>
      </c>
      <c r="H189" s="76">
        <v>86</v>
      </c>
      <c r="I189" s="76">
        <v>86</v>
      </c>
      <c r="J189" s="76">
        <v>256</v>
      </c>
      <c r="K189" s="85" t="s">
        <v>462</v>
      </c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>
      <c r="A190" s="78"/>
      <c r="B190" s="74" t="s">
        <v>515</v>
      </c>
      <c r="C190" s="75" t="s">
        <v>70</v>
      </c>
      <c r="D190" s="75">
        <v>2009</v>
      </c>
      <c r="E190" s="79"/>
      <c r="F190" s="79"/>
      <c r="G190" s="79"/>
      <c r="H190" s="79"/>
      <c r="I190" s="79"/>
      <c r="J190" s="79"/>
      <c r="K190" s="86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>
      <c r="A191" s="73">
        <v>6</v>
      </c>
      <c r="B191" s="74" t="s">
        <v>480</v>
      </c>
      <c r="C191" s="87" t="s">
        <v>27</v>
      </c>
      <c r="D191" s="75">
        <v>2011</v>
      </c>
      <c r="E191" s="73">
        <v>84</v>
      </c>
      <c r="F191" s="73">
        <v>85</v>
      </c>
      <c r="G191" s="73">
        <v>86</v>
      </c>
      <c r="H191" s="73">
        <v>84</v>
      </c>
      <c r="I191" s="73">
        <v>86</v>
      </c>
      <c r="J191" s="73">
        <v>255</v>
      </c>
      <c r="K191" s="83" t="s">
        <v>460</v>
      </c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>
      <c r="A192" s="78"/>
      <c r="B192" s="74" t="s">
        <v>523</v>
      </c>
      <c r="C192" s="87" t="s">
        <v>27</v>
      </c>
      <c r="D192" s="75">
        <v>2011</v>
      </c>
      <c r="E192" s="78"/>
      <c r="F192" s="78"/>
      <c r="G192" s="78"/>
      <c r="H192" s="78"/>
      <c r="I192" s="78"/>
      <c r="J192" s="78"/>
      <c r="K192" s="84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45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45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4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45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45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45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45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45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45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45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45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45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4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45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45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45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45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45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45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45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45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45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4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45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45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45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45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45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45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45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45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45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4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45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45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45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45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45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45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45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3.45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3.45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3.4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3.45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3.45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3.45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3.45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3.45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3.45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3.45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3.45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3.45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3.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3.45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3.45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3.45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3.45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3.45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3.45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3.45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3.45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3.45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3.4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3.45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3.45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3.45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3.45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3.45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3.45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3.45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3.45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3.45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3.4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3.45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3.45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3.45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3.45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3.45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3.45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3.45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3.45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3.45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3.4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3.45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3.45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3.45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3.45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3.45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3.45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3.45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3.45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3.45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3.4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3.45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3.45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3.45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3.45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3.45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3.45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3.45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3.45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3.45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3.4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3.45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3.45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3.45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3.45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3.45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3.45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3.45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3.45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3.45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3.4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3.45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3.45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3.45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3.45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3.45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3.45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3.45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3.45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3.45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3.4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3.45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3.45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3.45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3.45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3.45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3.45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3.45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3.45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3.45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3.4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3.45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3.45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3.45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3.45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3.45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3.45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3.45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3.45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3.45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3.4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3.45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3.45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3.45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3.45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3.45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3.45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3.45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3.45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3.45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3.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3.45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3.45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3.45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3.45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3.45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3.45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3.45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3.45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3.45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3.4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3.45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3.45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3.45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3.45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3.45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3.45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3.45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3.45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3.45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3.4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3.45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3.45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3.45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3.45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3.45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3.45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3.45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3.45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3.45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3.4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3.45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3.45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3.45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3.45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3.45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3.45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3.45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3.45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3.45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3.4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3.45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3.45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3.45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3.45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3.45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3.45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3.45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3.45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3.45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3.4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3.45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3.45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3.45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3.45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3.45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3.45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3.45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3.45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3.45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3.4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3.45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3.45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3.45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3.45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3.45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3.45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3.45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3.45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3.45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3.4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3.45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3.45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3.45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3.45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3.45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3.45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3.45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3.45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3.45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3.4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3.45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3.45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3.45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3.45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3.45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3.45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3.45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3.45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3.45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3.4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3.45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3.45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3.45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3.45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3.45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3.45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3.45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3.45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3.45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3.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3.45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3.45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3.45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3.45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3.45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3.45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3.45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3.45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3.45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3.4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3.45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3.45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3.45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3.45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3.45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3.45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3.45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3.45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3.45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3.4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3.45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3.45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3.45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3.45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3.45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3.45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3.45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3.45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3.45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3.4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3.45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3.45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3.45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3.45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3.45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3.45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3.45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3.45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3.45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3.4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3.45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3.45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3.45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3.45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3.45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3.45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3.45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3.45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3.45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3.4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3.45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3.45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3.45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3.45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3.45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3.45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3.45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3.45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3.45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3.4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3.45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3.45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3.45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3.45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3.45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3.45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3.45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3.45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3.45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3.4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3.45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3.45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3.45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3.45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3.45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3.45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3.45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3.45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3.45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3.4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3.45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3.45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3.45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3.45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3.45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3.45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3.45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3.45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3.45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3.4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3.45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3.45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3.45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3.45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3.45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3.45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3.45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3.45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3.45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3.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3.45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3.45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3.45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3.45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3.45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3.45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3.45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3.45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3.45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3.4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3.45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3.45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3.45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3.45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3.45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3.45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3.45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3.45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3.45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3.4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3.45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3.45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3.45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3.45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3.45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3.45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3.45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3.45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3.45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3.4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3.45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3.45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3.45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3.45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3.45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3.45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3.45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3.45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3.45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3.4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3.45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3.45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3.45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3.45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3.45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3.45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3.45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3.45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3.45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3.4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3.45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3.45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3.45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3.45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3.45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3.45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3.45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3.45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3.45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3.4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3.45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3.45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3.45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3.45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3.45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3.45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3.45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3.45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3.45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3.4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3.45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3.45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3.45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3.45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3.45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3.45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3.45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3.45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3.45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3.4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3.45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3.45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3.45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3.45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3.45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3.45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3.45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3.45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3.45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3.4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3.45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3.45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3.45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3.45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3.45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3.45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3.45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3.45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3.45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3.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3.45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3.45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3.45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3.45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3.45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3.45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3.45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3.45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3.45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3.4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3.45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3.45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3.45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3.45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3.45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3.45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3.45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3.45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3.45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3.4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3.45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3.45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3.45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3.45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3.45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3.45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3.45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3.45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3.45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3.4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3.45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3.45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3.45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3.45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3.45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3.45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3.45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3.45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3.45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3.4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3.45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3.45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3.45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3.45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3.45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3.45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3.45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3.45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3.45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3.4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3.45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3.45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3.45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3.45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3.45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3.45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3.45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3.45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3.45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3.4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3.45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3.45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3.45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3.45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3.45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3.45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3.45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3.45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3.45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3.4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3.45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3.45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3.45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3.45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3.45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3.45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3.45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3.45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3.45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3.4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3.45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3.45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3.45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3.45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3.45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3.45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3.45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3.45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3.45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3.4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3.45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3.45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3.45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3.45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3.45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3.45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3.45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3.45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3.45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3.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3.45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3.45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3.45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3.45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3.45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3.45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3.45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3.45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3.45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3.4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3.45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3.45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3.45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3.45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3.45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3.45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3.45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3.45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3.45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3.4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3.45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3.45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3.45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3.45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3.45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3.45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3.45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3.45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3.45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3.4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3.45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3.45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3.45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3.45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3.45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3.45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3.45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3.45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3.45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3.4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3.45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3.45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3.45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3.45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3.45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3.45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3.45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3.45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3.45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3.4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3.45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3.45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3.45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3.45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3.45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3.45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3.45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3.45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3.45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3.4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3.45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3.45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3.45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3.45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3.45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3.45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3.45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3.45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3.45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3.4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3.45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3.45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3.45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3.45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3.45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3.45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3.45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3.45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3.45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3.4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3.45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3.45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3.45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3.45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3.45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3.45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3.45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3.45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3.45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3.4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3.45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3.45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3.45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3.45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3.45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3.45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3.45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3.45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3.45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3.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3.45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3.45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3.45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3.45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3.45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3.45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3.45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3.45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3.45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3.4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3.45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3.45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3.45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3.45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3.45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3.45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3.45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3.45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3.45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3.4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3.45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3.45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3.45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3.45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3.45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3.45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3.45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3.45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3.45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3.4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3.45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3.45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3.45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3.45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3.45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3.45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3.45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3.45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3.45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3.4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3.45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3.45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3.45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3.45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3.45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3.45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3.45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3.45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3.45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3.4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3.45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3.45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3.45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3.45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3.45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3.45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3.45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3.45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3.45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3.4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3.45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3.45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3.45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3.45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3.45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3.45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3.45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3.45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3.45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3.4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3.45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3.45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3.45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3.45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3.45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3.45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3.45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3.45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3.45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3.4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3.45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3.45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3.45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3.45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3.45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3.45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3.45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3.45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3.45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3.4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3.45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3.45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3.45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3.45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3.45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3.45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3.45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3.45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3.45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3.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3.45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3.45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3.45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3.45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3.45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3.45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3.45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3.45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3.45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3.4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3.45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3.45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3.45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3.45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3.45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3.45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3.45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3.45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3.45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3.4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3.45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3.45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3.45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3.45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3.45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3.45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3.45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3.45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3.45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3.4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3.45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3.45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3.45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3.45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3.45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3.45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3.45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3.45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3.45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3.4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3.45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3.45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3.45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3.45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3.45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3.45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3.45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3.45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3.45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3.4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3.45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3.45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3.45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3.45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3.45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  <row r="1001" spans="1:26" ht="13.45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</row>
    <row r="1002" spans="1:26" ht="13.45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</row>
    <row r="1003" spans="1:26" ht="13.45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</row>
    <row r="1004" spans="1:26" ht="13.45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</row>
    <row r="1005" spans="1:26" ht="13.4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</row>
    <row r="1006" spans="1:26" ht="13.45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</row>
    <row r="1007" spans="1:26" ht="13.45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</row>
  </sheetData>
  <mergeCells count="369">
    <mergeCell ref="F25:F26"/>
    <mergeCell ref="G25:G26"/>
    <mergeCell ref="H25:H26"/>
    <mergeCell ref="I25:I26"/>
    <mergeCell ref="J25:J26"/>
    <mergeCell ref="K25:K26"/>
    <mergeCell ref="E25:E26"/>
    <mergeCell ref="F27:F28"/>
    <mergeCell ref="G27:G28"/>
    <mergeCell ref="H27:H28"/>
    <mergeCell ref="I27:I28"/>
    <mergeCell ref="J27:J28"/>
    <mergeCell ref="K27:K28"/>
    <mergeCell ref="E27:E28"/>
    <mergeCell ref="F29:F30"/>
    <mergeCell ref="G29:G30"/>
    <mergeCell ref="H29:H30"/>
    <mergeCell ref="I29:I30"/>
    <mergeCell ref="J29:J30"/>
    <mergeCell ref="K29:K30"/>
    <mergeCell ref="E29:E30"/>
    <mergeCell ref="F31:F32"/>
    <mergeCell ref="G31:G32"/>
    <mergeCell ref="H31:H32"/>
    <mergeCell ref="I31:I32"/>
    <mergeCell ref="J31:J32"/>
    <mergeCell ref="K31:K32"/>
    <mergeCell ref="E31:E32"/>
    <mergeCell ref="F33:F34"/>
    <mergeCell ref="G33:G34"/>
    <mergeCell ref="H33:H34"/>
    <mergeCell ref="I33:I34"/>
    <mergeCell ref="J33:J34"/>
    <mergeCell ref="K33:K34"/>
    <mergeCell ref="E33:E34"/>
    <mergeCell ref="F35:F36"/>
    <mergeCell ref="G35:G36"/>
    <mergeCell ref="H35:H36"/>
    <mergeCell ref="I35:I36"/>
    <mergeCell ref="J35:J36"/>
    <mergeCell ref="K35:K36"/>
    <mergeCell ref="E35:E36"/>
    <mergeCell ref="C43:C45"/>
    <mergeCell ref="D43:D45"/>
    <mergeCell ref="J43:J45"/>
    <mergeCell ref="K43:K45"/>
    <mergeCell ref="E46:E50"/>
    <mergeCell ref="F37:F38"/>
    <mergeCell ref="G37:G38"/>
    <mergeCell ref="H37:H38"/>
    <mergeCell ref="I37:I38"/>
    <mergeCell ref="J37:J38"/>
    <mergeCell ref="K37:K38"/>
    <mergeCell ref="E37:E38"/>
    <mergeCell ref="E39:E40"/>
    <mergeCell ref="F39:F40"/>
    <mergeCell ref="G39:G40"/>
    <mergeCell ref="H39:H40"/>
    <mergeCell ref="I39:I40"/>
    <mergeCell ref="J39:J40"/>
    <mergeCell ref="K39:K40"/>
    <mergeCell ref="A1:K1"/>
    <mergeCell ref="A3:K3"/>
    <mergeCell ref="B4:B6"/>
    <mergeCell ref="C4:C6"/>
    <mergeCell ref="D4:D6"/>
    <mergeCell ref="E4:I4"/>
    <mergeCell ref="A19:K19"/>
    <mergeCell ref="J51:J55"/>
    <mergeCell ref="K51:K55"/>
    <mergeCell ref="F46:F50"/>
    <mergeCell ref="G46:G50"/>
    <mergeCell ref="E51:E55"/>
    <mergeCell ref="F51:F55"/>
    <mergeCell ref="G51:G55"/>
    <mergeCell ref="H51:H55"/>
    <mergeCell ref="I51:I55"/>
    <mergeCell ref="A42:K42"/>
    <mergeCell ref="E43:I43"/>
    <mergeCell ref="H46:H50"/>
    <mergeCell ref="I46:I50"/>
    <mergeCell ref="J46:J50"/>
    <mergeCell ref="K46:K50"/>
    <mergeCell ref="A43:A45"/>
    <mergeCell ref="B43:B45"/>
    <mergeCell ref="E20:I20"/>
    <mergeCell ref="J20:J22"/>
    <mergeCell ref="K20:K22"/>
    <mergeCell ref="F23:F24"/>
    <mergeCell ref="G23:G24"/>
    <mergeCell ref="H23:H24"/>
    <mergeCell ref="K23:K24"/>
    <mergeCell ref="A4:A6"/>
    <mergeCell ref="A20:A22"/>
    <mergeCell ref="B20:B22"/>
    <mergeCell ref="C20:C22"/>
    <mergeCell ref="D20:D22"/>
    <mergeCell ref="A23:A24"/>
    <mergeCell ref="J4:J6"/>
    <mergeCell ref="K4:K6"/>
    <mergeCell ref="E23:E24"/>
    <mergeCell ref="I23:I24"/>
    <mergeCell ref="J23:J24"/>
    <mergeCell ref="A25:A26"/>
    <mergeCell ref="A27:A28"/>
    <mergeCell ref="A29:A30"/>
    <mergeCell ref="A31:A32"/>
    <mergeCell ref="A33:A34"/>
    <mergeCell ref="A35:A36"/>
    <mergeCell ref="A37:A38"/>
    <mergeCell ref="A39:A40"/>
    <mergeCell ref="A61:A65"/>
    <mergeCell ref="I56:I60"/>
    <mergeCell ref="J56:J60"/>
    <mergeCell ref="K56:K60"/>
    <mergeCell ref="I61:I65"/>
    <mergeCell ref="J61:J65"/>
    <mergeCell ref="K61:K65"/>
    <mergeCell ref="A46:A50"/>
    <mergeCell ref="A51:A55"/>
    <mergeCell ref="A56:A60"/>
    <mergeCell ref="E56:E60"/>
    <mergeCell ref="F56:F60"/>
    <mergeCell ref="G56:G60"/>
    <mergeCell ref="H56:H60"/>
    <mergeCell ref="E61:E65"/>
    <mergeCell ref="F61:F65"/>
    <mergeCell ref="G61:G65"/>
    <mergeCell ref="H61:H65"/>
    <mergeCell ref="G66:G70"/>
    <mergeCell ref="H66:H70"/>
    <mergeCell ref="I66:I70"/>
    <mergeCell ref="J66:J70"/>
    <mergeCell ref="K66:K70"/>
    <mergeCell ref="A66:A70"/>
    <mergeCell ref="A75:A77"/>
    <mergeCell ref="B75:B77"/>
    <mergeCell ref="C75:C77"/>
    <mergeCell ref="D75:D77"/>
    <mergeCell ref="E66:E70"/>
    <mergeCell ref="F66:F70"/>
    <mergeCell ref="A74:K74"/>
    <mergeCell ref="E75:I75"/>
    <mergeCell ref="J75:J77"/>
    <mergeCell ref="K75:K77"/>
    <mergeCell ref="J97:J99"/>
    <mergeCell ref="K97:K99"/>
    <mergeCell ref="F100:F104"/>
    <mergeCell ref="G100:G104"/>
    <mergeCell ref="F105:F109"/>
    <mergeCell ref="G105:G109"/>
    <mergeCell ref="H105:H109"/>
    <mergeCell ref="I105:I109"/>
    <mergeCell ref="J105:J109"/>
    <mergeCell ref="K105:K109"/>
    <mergeCell ref="G110:G114"/>
    <mergeCell ref="H110:H114"/>
    <mergeCell ref="I110:I114"/>
    <mergeCell ref="J110:J114"/>
    <mergeCell ref="K110:K114"/>
    <mergeCell ref="E110:E114"/>
    <mergeCell ref="E115:E119"/>
    <mergeCell ref="G115:G119"/>
    <mergeCell ref="H115:H119"/>
    <mergeCell ref="I115:I119"/>
    <mergeCell ref="J115:J119"/>
    <mergeCell ref="K115:K119"/>
    <mergeCell ref="D97:D99"/>
    <mergeCell ref="E100:E104"/>
    <mergeCell ref="A105:A109"/>
    <mergeCell ref="E105:E109"/>
    <mergeCell ref="A110:A114"/>
    <mergeCell ref="F110:F114"/>
    <mergeCell ref="F115:F119"/>
    <mergeCell ref="E120:E124"/>
    <mergeCell ref="F120:F124"/>
    <mergeCell ref="A115:A119"/>
    <mergeCell ref="A120:A124"/>
    <mergeCell ref="G120:G124"/>
    <mergeCell ref="H120:H124"/>
    <mergeCell ref="I120:I124"/>
    <mergeCell ref="J120:J124"/>
    <mergeCell ref="K120:K124"/>
    <mergeCell ref="E125:E129"/>
    <mergeCell ref="F125:F129"/>
    <mergeCell ref="G125:G129"/>
    <mergeCell ref="H125:H129"/>
    <mergeCell ref="I125:I129"/>
    <mergeCell ref="J125:J129"/>
    <mergeCell ref="K125:K129"/>
    <mergeCell ref="E130:E134"/>
    <mergeCell ref="F130:F134"/>
    <mergeCell ref="G130:G134"/>
    <mergeCell ref="H130:H134"/>
    <mergeCell ref="I130:I134"/>
    <mergeCell ref="J130:J134"/>
    <mergeCell ref="K130:K134"/>
    <mergeCell ref="E145:E149"/>
    <mergeCell ref="F145:F149"/>
    <mergeCell ref="G145:G149"/>
    <mergeCell ref="H145:H149"/>
    <mergeCell ref="I145:I149"/>
    <mergeCell ref="J145:J149"/>
    <mergeCell ref="K145:K149"/>
    <mergeCell ref="E140:E144"/>
    <mergeCell ref="F140:F144"/>
    <mergeCell ref="G140:G144"/>
    <mergeCell ref="H140:H144"/>
    <mergeCell ref="I140:I144"/>
    <mergeCell ref="J140:J144"/>
    <mergeCell ref="K140:K144"/>
    <mergeCell ref="E170:E171"/>
    <mergeCell ref="F170:F171"/>
    <mergeCell ref="G170:G171"/>
    <mergeCell ref="H170:H171"/>
    <mergeCell ref="I170:I171"/>
    <mergeCell ref="J170:J171"/>
    <mergeCell ref="K170:K171"/>
    <mergeCell ref="A96:K96"/>
    <mergeCell ref="E97:I97"/>
    <mergeCell ref="H100:H104"/>
    <mergeCell ref="I100:I104"/>
    <mergeCell ref="J100:J104"/>
    <mergeCell ref="K100:K104"/>
    <mergeCell ref="A97:A99"/>
    <mergeCell ref="B97:B99"/>
    <mergeCell ref="C97:C99"/>
    <mergeCell ref="A100:A104"/>
    <mergeCell ref="E135:E139"/>
    <mergeCell ref="F135:F139"/>
    <mergeCell ref="G135:G139"/>
    <mergeCell ref="H135:H139"/>
    <mergeCell ref="I135:I139"/>
    <mergeCell ref="J135:J139"/>
    <mergeCell ref="K135:K139"/>
    <mergeCell ref="A125:A129"/>
    <mergeCell ref="A130:A134"/>
    <mergeCell ref="A135:A139"/>
    <mergeCell ref="A140:A144"/>
    <mergeCell ref="A145:A149"/>
    <mergeCell ref="A153:A155"/>
    <mergeCell ref="A156:A157"/>
    <mergeCell ref="A158:A159"/>
    <mergeCell ref="A160:A161"/>
    <mergeCell ref="A152:K152"/>
    <mergeCell ref="B153:B155"/>
    <mergeCell ref="C153:C155"/>
    <mergeCell ref="D153:D155"/>
    <mergeCell ref="E153:I153"/>
    <mergeCell ref="J153:J155"/>
    <mergeCell ref="K153:K155"/>
    <mergeCell ref="E156:E157"/>
    <mergeCell ref="F156:F157"/>
    <mergeCell ref="G156:G157"/>
    <mergeCell ref="H156:H157"/>
    <mergeCell ref="I156:I157"/>
    <mergeCell ref="J156:J157"/>
    <mergeCell ref="K156:K157"/>
    <mergeCell ref="E158:E159"/>
    <mergeCell ref="A162:A163"/>
    <mergeCell ref="A164:A165"/>
    <mergeCell ref="A166:A167"/>
    <mergeCell ref="A187:A188"/>
    <mergeCell ref="A189:A190"/>
    <mergeCell ref="A191:A192"/>
    <mergeCell ref="A168:A169"/>
    <mergeCell ref="A170:A171"/>
    <mergeCell ref="A172:A173"/>
    <mergeCell ref="A178:A180"/>
    <mergeCell ref="A181:A182"/>
    <mergeCell ref="A183:A184"/>
    <mergeCell ref="A185:A186"/>
    <mergeCell ref="F158:F159"/>
    <mergeCell ref="G158:G159"/>
    <mergeCell ref="H158:H159"/>
    <mergeCell ref="I158:I159"/>
    <mergeCell ref="J158:J159"/>
    <mergeCell ref="K158:K159"/>
    <mergeCell ref="E160:E161"/>
    <mergeCell ref="F160:F161"/>
    <mergeCell ref="G160:G161"/>
    <mergeCell ref="H160:H161"/>
    <mergeCell ref="I160:I161"/>
    <mergeCell ref="J160:J161"/>
    <mergeCell ref="K160:K161"/>
    <mergeCell ref="E162:E163"/>
    <mergeCell ref="F162:F163"/>
    <mergeCell ref="G162:G163"/>
    <mergeCell ref="H162:H163"/>
    <mergeCell ref="I162:I163"/>
    <mergeCell ref="J162:J163"/>
    <mergeCell ref="K162:K163"/>
    <mergeCell ref="E164:E165"/>
    <mergeCell ref="F164:F165"/>
    <mergeCell ref="G164:G165"/>
    <mergeCell ref="H164:H165"/>
    <mergeCell ref="I164:I165"/>
    <mergeCell ref="J164:J165"/>
    <mergeCell ref="K164:K165"/>
    <mergeCell ref="E185:E186"/>
    <mergeCell ref="F185:F186"/>
    <mergeCell ref="G185:G186"/>
    <mergeCell ref="H185:H186"/>
    <mergeCell ref="I185:I186"/>
    <mergeCell ref="J185:J186"/>
    <mergeCell ref="K185:K186"/>
    <mergeCell ref="E187:E188"/>
    <mergeCell ref="F187:F188"/>
    <mergeCell ref="G187:G188"/>
    <mergeCell ref="H187:H188"/>
    <mergeCell ref="I187:I188"/>
    <mergeCell ref="J187:J188"/>
    <mergeCell ref="K187:K188"/>
    <mergeCell ref="E166:E167"/>
    <mergeCell ref="F166:F167"/>
    <mergeCell ref="G166:G167"/>
    <mergeCell ref="H166:H167"/>
    <mergeCell ref="I166:I167"/>
    <mergeCell ref="J166:J167"/>
    <mergeCell ref="K166:K167"/>
    <mergeCell ref="E168:E169"/>
    <mergeCell ref="F168:F169"/>
    <mergeCell ref="G168:G169"/>
    <mergeCell ref="H168:H169"/>
    <mergeCell ref="I168:I169"/>
    <mergeCell ref="J168:J169"/>
    <mergeCell ref="K168:K169"/>
    <mergeCell ref="E172:E173"/>
    <mergeCell ref="F172:F173"/>
    <mergeCell ref="G172:G173"/>
    <mergeCell ref="H172:H173"/>
    <mergeCell ref="I172:I173"/>
    <mergeCell ref="J172:J173"/>
    <mergeCell ref="K172:K173"/>
    <mergeCell ref="A177:K177"/>
    <mergeCell ref="B178:B180"/>
    <mergeCell ref="C178:C180"/>
    <mergeCell ref="D178:D180"/>
    <mergeCell ref="E178:I178"/>
    <mergeCell ref="J178:J180"/>
    <mergeCell ref="K178:K180"/>
    <mergeCell ref="E181:E182"/>
    <mergeCell ref="F181:F182"/>
    <mergeCell ref="G181:G182"/>
    <mergeCell ref="H181:H182"/>
    <mergeCell ref="I181:I182"/>
    <mergeCell ref="J181:J182"/>
    <mergeCell ref="K181:K182"/>
    <mergeCell ref="E183:E184"/>
    <mergeCell ref="F183:F184"/>
    <mergeCell ref="G183:G184"/>
    <mergeCell ref="H183:H184"/>
    <mergeCell ref="I183:I184"/>
    <mergeCell ref="J183:J184"/>
    <mergeCell ref="K183:K184"/>
    <mergeCell ref="E191:E192"/>
    <mergeCell ref="F191:F192"/>
    <mergeCell ref="G191:G192"/>
    <mergeCell ref="H191:H192"/>
    <mergeCell ref="I191:I192"/>
    <mergeCell ref="J191:J192"/>
    <mergeCell ref="K191:K192"/>
    <mergeCell ref="E189:E190"/>
    <mergeCell ref="F189:F190"/>
    <mergeCell ref="G189:G190"/>
    <mergeCell ref="H189:H190"/>
    <mergeCell ref="I189:I190"/>
    <mergeCell ref="J189:J190"/>
    <mergeCell ref="K189:K1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0"/>
  <sheetViews>
    <sheetView zoomScale="87" workbookViewId="0">
      <selection activeCell="H16" sqref="H16"/>
    </sheetView>
  </sheetViews>
  <sheetFormatPr defaultColWidth="12.6328125" defaultRowHeight="15.05" customHeight="1"/>
  <cols>
    <col min="1" max="1" width="12.6328125" style="99"/>
    <col min="2" max="2" width="27.36328125" style="99" customWidth="1"/>
    <col min="3" max="3" width="17.36328125" style="99" customWidth="1"/>
    <col min="4" max="16384" width="12.6328125" style="99"/>
  </cols>
  <sheetData>
    <row r="1" spans="1:26" ht="15.05" customHeight="1">
      <c r="A1" s="53" t="s">
        <v>586</v>
      </c>
      <c r="B1" s="88"/>
      <c r="C1" s="88"/>
      <c r="D1" s="88"/>
      <c r="E1" s="88"/>
      <c r="F1" s="88"/>
      <c r="G1" s="88"/>
      <c r="H1" s="88"/>
      <c r="I1" s="88"/>
      <c r="J1" s="88"/>
      <c r="K1" s="89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3.4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5.05" customHeight="1">
      <c r="A3" s="114" t="s">
        <v>587</v>
      </c>
      <c r="B3" s="88"/>
      <c r="C3" s="88"/>
      <c r="D3" s="88"/>
      <c r="E3" s="88"/>
      <c r="F3" s="88"/>
      <c r="G3" s="88"/>
      <c r="H3" s="88"/>
      <c r="I3" s="88"/>
      <c r="J3" s="88"/>
      <c r="K3" s="89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5.05" customHeight="1">
      <c r="A4" s="115" t="s">
        <v>453</v>
      </c>
      <c r="B4" s="115" t="s">
        <v>454</v>
      </c>
      <c r="C4" s="115" t="s">
        <v>9</v>
      </c>
      <c r="D4" s="116" t="s">
        <v>455</v>
      </c>
      <c r="E4" s="90" t="s">
        <v>456</v>
      </c>
      <c r="F4" s="91"/>
      <c r="G4" s="91"/>
      <c r="H4" s="91"/>
      <c r="I4" s="92"/>
      <c r="J4" s="116" t="s">
        <v>457</v>
      </c>
      <c r="K4" s="116" t="s">
        <v>458</v>
      </c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5.05" customHeight="1">
      <c r="A5" s="93"/>
      <c r="B5" s="93"/>
      <c r="C5" s="93"/>
      <c r="D5" s="93"/>
      <c r="E5" s="7">
        <v>1</v>
      </c>
      <c r="F5" s="7">
        <v>2</v>
      </c>
      <c r="G5" s="7">
        <v>3</v>
      </c>
      <c r="H5" s="7">
        <v>4</v>
      </c>
      <c r="I5" s="7">
        <v>5</v>
      </c>
      <c r="J5" s="93"/>
      <c r="K5" s="93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3.45">
      <c r="A6" s="94"/>
      <c r="B6" s="94"/>
      <c r="C6" s="94"/>
      <c r="D6" s="94"/>
      <c r="E6" s="95"/>
      <c r="F6" s="95"/>
      <c r="G6" s="95"/>
      <c r="H6" s="95"/>
      <c r="I6" s="95"/>
      <c r="J6" s="94"/>
      <c r="K6" s="94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5.05" customHeight="1">
      <c r="A7" s="27">
        <v>4</v>
      </c>
      <c r="B7" s="117" t="s">
        <v>591</v>
      </c>
      <c r="C7" s="143" t="s">
        <v>27</v>
      </c>
      <c r="D7" s="119">
        <v>2008</v>
      </c>
      <c r="E7" s="27">
        <v>85</v>
      </c>
      <c r="F7" s="27">
        <v>86</v>
      </c>
      <c r="G7" s="27">
        <v>86</v>
      </c>
      <c r="H7" s="27">
        <v>86</v>
      </c>
      <c r="I7" s="27">
        <v>85</v>
      </c>
      <c r="J7" s="27">
        <v>257</v>
      </c>
      <c r="K7" s="123" t="s">
        <v>462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5.05" customHeight="1">
      <c r="A8" s="27">
        <v>7</v>
      </c>
      <c r="B8" s="117" t="s">
        <v>594</v>
      </c>
      <c r="C8" s="120" t="s">
        <v>326</v>
      </c>
      <c r="D8" s="119">
        <v>2006</v>
      </c>
      <c r="E8" s="27">
        <v>85</v>
      </c>
      <c r="F8" s="27">
        <v>84</v>
      </c>
      <c r="G8" s="27">
        <v>85</v>
      </c>
      <c r="H8" s="27">
        <v>84</v>
      </c>
      <c r="I8" s="27">
        <v>84</v>
      </c>
      <c r="J8" s="27">
        <v>253</v>
      </c>
      <c r="K8" s="123" t="s">
        <v>466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5.05" customHeight="1">
      <c r="A9" s="27">
        <v>5</v>
      </c>
      <c r="B9" s="117" t="s">
        <v>592</v>
      </c>
      <c r="C9" s="120" t="s">
        <v>51</v>
      </c>
      <c r="D9" s="121">
        <v>2006</v>
      </c>
      <c r="E9" s="27">
        <v>84</v>
      </c>
      <c r="F9" s="27">
        <v>84</v>
      </c>
      <c r="G9" s="27">
        <v>85</v>
      </c>
      <c r="H9" s="27">
        <v>84</v>
      </c>
      <c r="I9" s="27">
        <v>85</v>
      </c>
      <c r="J9" s="27">
        <v>253</v>
      </c>
      <c r="K9" s="123" t="s">
        <v>460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5.05" customHeight="1">
      <c r="A10" s="27">
        <v>3</v>
      </c>
      <c r="B10" s="117" t="s">
        <v>590</v>
      </c>
      <c r="C10" s="142" t="s">
        <v>23</v>
      </c>
      <c r="D10" s="119">
        <v>2007</v>
      </c>
      <c r="E10" s="27">
        <v>84</v>
      </c>
      <c r="F10" s="27">
        <v>84</v>
      </c>
      <c r="G10" s="27">
        <v>85</v>
      </c>
      <c r="H10" s="27">
        <v>85</v>
      </c>
      <c r="I10" s="27">
        <v>83</v>
      </c>
      <c r="J10" s="27">
        <f>E10+F10+G10</f>
        <v>253</v>
      </c>
      <c r="K10" s="123" t="s">
        <v>460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5.05" customHeight="1">
      <c r="A11" s="27">
        <v>1</v>
      </c>
      <c r="B11" s="117" t="s">
        <v>588</v>
      </c>
      <c r="C11" s="120" t="s">
        <v>17</v>
      </c>
      <c r="D11" s="119">
        <v>2008</v>
      </c>
      <c r="E11" s="27">
        <v>84</v>
      </c>
      <c r="F11" s="27">
        <v>83</v>
      </c>
      <c r="G11" s="27">
        <v>84</v>
      </c>
      <c r="H11" s="27">
        <v>83</v>
      </c>
      <c r="I11" s="27">
        <v>84</v>
      </c>
      <c r="J11" s="27">
        <f>E11+F11+G11</f>
        <v>251</v>
      </c>
      <c r="K11" s="156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5.05" customHeight="1">
      <c r="A12" s="27">
        <v>6</v>
      </c>
      <c r="B12" s="117" t="s">
        <v>593</v>
      </c>
      <c r="C12" s="118" t="s">
        <v>44</v>
      </c>
      <c r="D12" s="119">
        <v>2007</v>
      </c>
      <c r="E12" s="27">
        <v>82</v>
      </c>
      <c r="F12" s="27">
        <v>82</v>
      </c>
      <c r="G12" s="27">
        <v>83</v>
      </c>
      <c r="H12" s="27">
        <v>83</v>
      </c>
      <c r="I12" s="27">
        <v>83</v>
      </c>
      <c r="J12" s="27">
        <v>248</v>
      </c>
      <c r="K12" s="156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5.05" customHeight="1">
      <c r="A13" s="27">
        <v>2</v>
      </c>
      <c r="B13" s="117" t="s">
        <v>589</v>
      </c>
      <c r="C13" s="118" t="s">
        <v>62</v>
      </c>
      <c r="D13" s="119">
        <v>2007</v>
      </c>
      <c r="E13" s="27">
        <v>82</v>
      </c>
      <c r="F13" s="27">
        <v>83</v>
      </c>
      <c r="G13" s="27">
        <v>82</v>
      </c>
      <c r="H13" s="27">
        <v>82</v>
      </c>
      <c r="I13" s="27">
        <v>82</v>
      </c>
      <c r="J13" s="27">
        <v>246</v>
      </c>
      <c r="K13" s="156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5.05" customHeight="1">
      <c r="A14" s="125">
        <v>8</v>
      </c>
      <c r="B14" s="126" t="s">
        <v>595</v>
      </c>
      <c r="C14" s="127" t="s">
        <v>76</v>
      </c>
      <c r="D14" s="128">
        <v>2008</v>
      </c>
      <c r="E14" s="125">
        <v>0</v>
      </c>
      <c r="F14" s="125">
        <v>0</v>
      </c>
      <c r="G14" s="125">
        <v>0</v>
      </c>
      <c r="H14" s="125">
        <v>0</v>
      </c>
      <c r="I14" s="125">
        <v>0</v>
      </c>
      <c r="J14" s="125">
        <v>0</v>
      </c>
      <c r="K14" s="157" t="s">
        <v>596</v>
      </c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3.45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144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3.45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144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5.05" customHeight="1">
      <c r="A17" s="114" t="s">
        <v>597</v>
      </c>
      <c r="B17" s="88"/>
      <c r="C17" s="88"/>
      <c r="D17" s="88"/>
      <c r="E17" s="88"/>
      <c r="F17" s="88"/>
      <c r="G17" s="88"/>
      <c r="H17" s="88"/>
      <c r="I17" s="88"/>
      <c r="J17" s="88"/>
      <c r="K17" s="89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5.05" customHeight="1">
      <c r="A18" s="115" t="s">
        <v>453</v>
      </c>
      <c r="B18" s="115" t="s">
        <v>454</v>
      </c>
      <c r="C18" s="115" t="s">
        <v>9</v>
      </c>
      <c r="D18" s="116" t="s">
        <v>455</v>
      </c>
      <c r="E18" s="90" t="s">
        <v>456</v>
      </c>
      <c r="F18" s="91"/>
      <c r="G18" s="91"/>
      <c r="H18" s="91"/>
      <c r="I18" s="92"/>
      <c r="J18" s="116" t="s">
        <v>457</v>
      </c>
      <c r="K18" s="116" t="s">
        <v>458</v>
      </c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5.05" customHeight="1">
      <c r="A19" s="93"/>
      <c r="B19" s="93"/>
      <c r="C19" s="93"/>
      <c r="D19" s="93"/>
      <c r="E19" s="7">
        <v>1</v>
      </c>
      <c r="F19" s="7">
        <v>2</v>
      </c>
      <c r="G19" s="7">
        <v>3</v>
      </c>
      <c r="H19" s="7">
        <v>4</v>
      </c>
      <c r="I19" s="7">
        <v>5</v>
      </c>
      <c r="J19" s="93"/>
      <c r="K19" s="93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3.45">
      <c r="A20" s="94"/>
      <c r="B20" s="94"/>
      <c r="C20" s="94"/>
      <c r="D20" s="94"/>
      <c r="E20" s="95"/>
      <c r="F20" s="95"/>
      <c r="G20" s="95"/>
      <c r="H20" s="95"/>
      <c r="I20" s="95"/>
      <c r="J20" s="94"/>
      <c r="K20" s="94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5.05" customHeight="1">
      <c r="A21" s="76">
        <v>1</v>
      </c>
      <c r="B21" s="117" t="s">
        <v>598</v>
      </c>
      <c r="C21" s="118" t="s">
        <v>44</v>
      </c>
      <c r="D21" s="119">
        <v>2006</v>
      </c>
      <c r="E21" s="76">
        <v>87</v>
      </c>
      <c r="F21" s="76">
        <v>86</v>
      </c>
      <c r="G21" s="76">
        <v>85</v>
      </c>
      <c r="H21" s="76">
        <v>85</v>
      </c>
      <c r="I21" s="76">
        <v>86</v>
      </c>
      <c r="J21" s="76">
        <v>258</v>
      </c>
      <c r="K21" s="76" t="s">
        <v>462</v>
      </c>
      <c r="L21" s="144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5.05" customHeight="1">
      <c r="A22" s="79"/>
      <c r="B22" s="117" t="s">
        <v>599</v>
      </c>
      <c r="C22" s="118" t="s">
        <v>44</v>
      </c>
      <c r="D22" s="119">
        <v>2006</v>
      </c>
      <c r="E22" s="79"/>
      <c r="F22" s="79">
        <f>F21</f>
        <v>86</v>
      </c>
      <c r="G22" s="79">
        <f>G21</f>
        <v>85</v>
      </c>
      <c r="H22" s="79">
        <f>H21</f>
        <v>85</v>
      </c>
      <c r="I22" s="79">
        <f>I21</f>
        <v>86</v>
      </c>
      <c r="J22" s="79">
        <f>J21</f>
        <v>258</v>
      </c>
      <c r="K22" s="79" t="str">
        <f>K21</f>
        <v>Hạng 1</v>
      </c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5.05" customHeight="1">
      <c r="A23" s="76">
        <v>5</v>
      </c>
      <c r="B23" s="117" t="s">
        <v>591</v>
      </c>
      <c r="C23" s="143" t="s">
        <v>27</v>
      </c>
      <c r="D23" s="119">
        <v>2008</v>
      </c>
      <c r="E23" s="76">
        <v>86</v>
      </c>
      <c r="F23" s="76">
        <v>85</v>
      </c>
      <c r="G23" s="76">
        <v>86</v>
      </c>
      <c r="H23" s="76">
        <v>84</v>
      </c>
      <c r="I23" s="76">
        <v>84</v>
      </c>
      <c r="J23" s="76">
        <v>255</v>
      </c>
      <c r="K23" s="76" t="s">
        <v>466</v>
      </c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5.05" customHeight="1">
      <c r="A24" s="79">
        <f>A23</f>
        <v>5</v>
      </c>
      <c r="B24" s="117" t="s">
        <v>606</v>
      </c>
      <c r="C24" s="143" t="s">
        <v>27</v>
      </c>
      <c r="D24" s="119">
        <v>2006</v>
      </c>
      <c r="E24" s="79">
        <f>E23</f>
        <v>86</v>
      </c>
      <c r="F24" s="79">
        <f>F23</f>
        <v>85</v>
      </c>
      <c r="G24" s="79">
        <f>G23</f>
        <v>86</v>
      </c>
      <c r="H24" s="79">
        <f>H23</f>
        <v>84</v>
      </c>
      <c r="I24" s="79">
        <f>I23</f>
        <v>84</v>
      </c>
      <c r="J24" s="79">
        <f>J23</f>
        <v>255</v>
      </c>
      <c r="K24" s="79" t="str">
        <f>K23</f>
        <v>Hạng 2</v>
      </c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4" customHeight="1">
      <c r="A25" s="76">
        <v>2</v>
      </c>
      <c r="B25" s="129" t="s">
        <v>600</v>
      </c>
      <c r="C25" s="120" t="s">
        <v>62</v>
      </c>
      <c r="D25" s="121">
        <v>2008</v>
      </c>
      <c r="E25" s="76">
        <v>85</v>
      </c>
      <c r="F25" s="76">
        <v>83</v>
      </c>
      <c r="G25" s="76">
        <v>84</v>
      </c>
      <c r="H25" s="76">
        <v>85</v>
      </c>
      <c r="I25" s="76">
        <v>84</v>
      </c>
      <c r="J25" s="76">
        <v>253</v>
      </c>
      <c r="K25" s="76" t="s">
        <v>460</v>
      </c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4" customHeight="1">
      <c r="A26" s="79">
        <f>A25</f>
        <v>2</v>
      </c>
      <c r="B26" s="117" t="s">
        <v>601</v>
      </c>
      <c r="C26" s="120" t="s">
        <v>62</v>
      </c>
      <c r="D26" s="119">
        <v>2005</v>
      </c>
      <c r="E26" s="79">
        <f>E25</f>
        <v>85</v>
      </c>
      <c r="F26" s="79">
        <f>F25</f>
        <v>83</v>
      </c>
      <c r="G26" s="79">
        <f>G25</f>
        <v>84</v>
      </c>
      <c r="H26" s="79">
        <f>H25</f>
        <v>85</v>
      </c>
      <c r="I26" s="79">
        <f>I25</f>
        <v>84</v>
      </c>
      <c r="J26" s="79">
        <f>J25</f>
        <v>253</v>
      </c>
      <c r="K26" s="79" t="str">
        <f>K25</f>
        <v>Hạng 3</v>
      </c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4" customHeight="1">
      <c r="A27" s="76">
        <v>6</v>
      </c>
      <c r="B27" s="117" t="s">
        <v>607</v>
      </c>
      <c r="C27" s="118" t="s">
        <v>51</v>
      </c>
      <c r="D27" s="119">
        <v>2007</v>
      </c>
      <c r="E27" s="76">
        <v>84</v>
      </c>
      <c r="F27" s="76">
        <v>84</v>
      </c>
      <c r="G27" s="76">
        <v>83</v>
      </c>
      <c r="H27" s="76">
        <v>84</v>
      </c>
      <c r="I27" s="76">
        <v>84</v>
      </c>
      <c r="J27" s="76">
        <v>252</v>
      </c>
      <c r="K27" s="76" t="s">
        <v>460</v>
      </c>
      <c r="L27" s="144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4" customHeight="1">
      <c r="A28" s="79">
        <f>A27</f>
        <v>6</v>
      </c>
      <c r="B28" s="117" t="s">
        <v>592</v>
      </c>
      <c r="C28" s="118" t="s">
        <v>51</v>
      </c>
      <c r="D28" s="119">
        <v>2006</v>
      </c>
      <c r="E28" s="79">
        <f>E27</f>
        <v>84</v>
      </c>
      <c r="F28" s="79">
        <f>F27</f>
        <v>84</v>
      </c>
      <c r="G28" s="79">
        <f>G27</f>
        <v>83</v>
      </c>
      <c r="H28" s="79">
        <f>H27</f>
        <v>84</v>
      </c>
      <c r="I28" s="79">
        <f>I27</f>
        <v>84</v>
      </c>
      <c r="J28" s="79">
        <f>J27</f>
        <v>252</v>
      </c>
      <c r="K28" s="79" t="str">
        <f>K27</f>
        <v>Hạng 3</v>
      </c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4" customHeight="1">
      <c r="A29" s="76">
        <v>3</v>
      </c>
      <c r="B29" s="117" t="s">
        <v>602</v>
      </c>
      <c r="C29" s="142" t="s">
        <v>326</v>
      </c>
      <c r="D29" s="119">
        <v>2007</v>
      </c>
      <c r="E29" s="76">
        <v>82</v>
      </c>
      <c r="F29" s="76">
        <v>84</v>
      </c>
      <c r="G29" s="76">
        <v>83</v>
      </c>
      <c r="H29" s="76">
        <v>84</v>
      </c>
      <c r="I29" s="76">
        <v>85</v>
      </c>
      <c r="J29" s="76">
        <v>249</v>
      </c>
      <c r="K29" s="14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4" customHeight="1">
      <c r="A30" s="79">
        <f>A29</f>
        <v>3</v>
      </c>
      <c r="B30" s="117" t="s">
        <v>603</v>
      </c>
      <c r="C30" s="142" t="s">
        <v>326</v>
      </c>
      <c r="D30" s="119">
        <v>2006</v>
      </c>
      <c r="E30" s="79">
        <f>E29</f>
        <v>82</v>
      </c>
      <c r="F30" s="79">
        <f>F29</f>
        <v>84</v>
      </c>
      <c r="G30" s="79">
        <f>G29</f>
        <v>83</v>
      </c>
      <c r="H30" s="79">
        <f>H29</f>
        <v>84</v>
      </c>
      <c r="I30" s="79">
        <f>I29</f>
        <v>85</v>
      </c>
      <c r="J30" s="79">
        <f>J29</f>
        <v>249</v>
      </c>
      <c r="K30" s="79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4" customHeight="1">
      <c r="A31" s="76">
        <v>4</v>
      </c>
      <c r="B31" s="117" t="s">
        <v>604</v>
      </c>
      <c r="C31" s="118" t="s">
        <v>40</v>
      </c>
      <c r="D31" s="119">
        <v>2008</v>
      </c>
      <c r="E31" s="76">
        <v>84</v>
      </c>
      <c r="F31" s="76">
        <v>83</v>
      </c>
      <c r="G31" s="76">
        <v>82</v>
      </c>
      <c r="H31" s="76">
        <v>83</v>
      </c>
      <c r="I31" s="76">
        <v>83</v>
      </c>
      <c r="J31" s="76">
        <v>249</v>
      </c>
      <c r="K31" s="7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4" customHeight="1">
      <c r="A32" s="79">
        <f>A31</f>
        <v>4</v>
      </c>
      <c r="B32" s="117" t="s">
        <v>605</v>
      </c>
      <c r="C32" s="118" t="s">
        <v>40</v>
      </c>
      <c r="D32" s="119">
        <v>2008</v>
      </c>
      <c r="E32" s="79">
        <f>E31</f>
        <v>84</v>
      </c>
      <c r="F32" s="79">
        <f>F31</f>
        <v>83</v>
      </c>
      <c r="G32" s="79">
        <f>G31</f>
        <v>82</v>
      </c>
      <c r="H32" s="79">
        <f>H31</f>
        <v>83</v>
      </c>
      <c r="I32" s="79">
        <f>I31</f>
        <v>83</v>
      </c>
      <c r="J32" s="79">
        <f>J31</f>
        <v>249</v>
      </c>
      <c r="K32" s="79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4" customHeight="1">
      <c r="A33" s="76">
        <v>7</v>
      </c>
      <c r="B33" s="117" t="s">
        <v>608</v>
      </c>
      <c r="C33" s="120" t="s">
        <v>17</v>
      </c>
      <c r="D33" s="119">
        <v>2007</v>
      </c>
      <c r="E33" s="76">
        <v>83</v>
      </c>
      <c r="F33" s="76">
        <v>84</v>
      </c>
      <c r="G33" s="76">
        <v>83</v>
      </c>
      <c r="H33" s="76">
        <v>82</v>
      </c>
      <c r="I33" s="76">
        <v>83</v>
      </c>
      <c r="J33" s="76">
        <v>249</v>
      </c>
      <c r="K33" s="7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4" customHeight="1">
      <c r="A34" s="79">
        <f>A33</f>
        <v>7</v>
      </c>
      <c r="B34" s="117" t="s">
        <v>609</v>
      </c>
      <c r="C34" s="120" t="s">
        <v>17</v>
      </c>
      <c r="D34" s="119">
        <v>2007</v>
      </c>
      <c r="E34" s="79">
        <f>E33</f>
        <v>83</v>
      </c>
      <c r="F34" s="79">
        <f>F33</f>
        <v>84</v>
      </c>
      <c r="G34" s="79">
        <f>G33</f>
        <v>83</v>
      </c>
      <c r="H34" s="79">
        <f>H33</f>
        <v>82</v>
      </c>
      <c r="I34" s="79">
        <f>I33</f>
        <v>83</v>
      </c>
      <c r="J34" s="79">
        <f>J33</f>
        <v>249</v>
      </c>
      <c r="K34" s="79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3.4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3.45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>
      <c r="A37" s="114" t="s">
        <v>610</v>
      </c>
      <c r="B37" s="88"/>
      <c r="C37" s="88"/>
      <c r="D37" s="88"/>
      <c r="E37" s="88"/>
      <c r="F37" s="88"/>
      <c r="G37" s="88"/>
      <c r="H37" s="88"/>
      <c r="I37" s="88"/>
      <c r="J37" s="88"/>
      <c r="K37" s="89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3.45">
      <c r="A38" s="115" t="s">
        <v>453</v>
      </c>
      <c r="B38" s="115" t="s">
        <v>454</v>
      </c>
      <c r="C38" s="115" t="s">
        <v>9</v>
      </c>
      <c r="D38" s="116" t="s">
        <v>455</v>
      </c>
      <c r="E38" s="90" t="s">
        <v>456</v>
      </c>
      <c r="F38" s="91"/>
      <c r="G38" s="91"/>
      <c r="H38" s="91"/>
      <c r="I38" s="92"/>
      <c r="J38" s="116" t="s">
        <v>457</v>
      </c>
      <c r="K38" s="116" t="s">
        <v>458</v>
      </c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>
      <c r="A39" s="93"/>
      <c r="B39" s="93"/>
      <c r="C39" s="93"/>
      <c r="D39" s="93"/>
      <c r="E39" s="7">
        <v>1</v>
      </c>
      <c r="F39" s="7">
        <v>2</v>
      </c>
      <c r="G39" s="7">
        <v>3</v>
      </c>
      <c r="H39" s="7">
        <v>4</v>
      </c>
      <c r="I39" s="7">
        <v>5</v>
      </c>
      <c r="J39" s="93"/>
      <c r="K39" s="93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>
      <c r="A40" s="94"/>
      <c r="B40" s="94"/>
      <c r="C40" s="94"/>
      <c r="D40" s="94"/>
      <c r="E40" s="7" t="s">
        <v>611</v>
      </c>
      <c r="F40" s="7" t="s">
        <v>612</v>
      </c>
      <c r="G40" s="7" t="s">
        <v>613</v>
      </c>
      <c r="H40" s="7" t="s">
        <v>614</v>
      </c>
      <c r="I40" s="7" t="s">
        <v>615</v>
      </c>
      <c r="J40" s="94"/>
      <c r="K40" s="94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4" customHeight="1">
      <c r="A41" s="76">
        <v>1</v>
      </c>
      <c r="B41" s="129" t="s">
        <v>602</v>
      </c>
      <c r="C41" s="120" t="s">
        <v>326</v>
      </c>
      <c r="D41" s="121">
        <v>2007</v>
      </c>
      <c r="E41" s="76">
        <v>84</v>
      </c>
      <c r="F41" s="76">
        <v>86</v>
      </c>
      <c r="G41" s="76">
        <v>87</v>
      </c>
      <c r="H41" s="76">
        <v>85</v>
      </c>
      <c r="I41" s="76">
        <v>85</v>
      </c>
      <c r="J41" s="76">
        <v>256</v>
      </c>
      <c r="K41" s="146" t="s">
        <v>462</v>
      </c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4" customHeight="1">
      <c r="A42" s="113"/>
      <c r="B42" s="117" t="s">
        <v>594</v>
      </c>
      <c r="C42" s="120" t="s">
        <v>326</v>
      </c>
      <c r="D42" s="119">
        <v>2006</v>
      </c>
      <c r="E42" s="113"/>
      <c r="F42" s="113">
        <f>F41</f>
        <v>86</v>
      </c>
      <c r="G42" s="113">
        <f>G41</f>
        <v>87</v>
      </c>
      <c r="H42" s="113">
        <f>H41</f>
        <v>85</v>
      </c>
      <c r="I42" s="113">
        <f>I41</f>
        <v>85</v>
      </c>
      <c r="J42" s="113">
        <f>J41</f>
        <v>256</v>
      </c>
      <c r="K42" s="113" t="str">
        <f>K41</f>
        <v>Hạng 1</v>
      </c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4" customHeight="1">
      <c r="A43" s="79"/>
      <c r="B43" s="117" t="s">
        <v>616</v>
      </c>
      <c r="C43" s="120" t="s">
        <v>326</v>
      </c>
      <c r="D43" s="119">
        <v>2006</v>
      </c>
      <c r="E43" s="79"/>
      <c r="F43" s="79">
        <f>F42</f>
        <v>86</v>
      </c>
      <c r="G43" s="79">
        <f>G42</f>
        <v>87</v>
      </c>
      <c r="H43" s="79">
        <f>H42</f>
        <v>85</v>
      </c>
      <c r="I43" s="79">
        <f>I42</f>
        <v>85</v>
      </c>
      <c r="J43" s="79">
        <f>J42</f>
        <v>256</v>
      </c>
      <c r="K43" s="79" t="str">
        <f>K42</f>
        <v>Hạng 1</v>
      </c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4" customHeight="1">
      <c r="A44" s="76">
        <v>3</v>
      </c>
      <c r="B44" s="117" t="s">
        <v>619</v>
      </c>
      <c r="C44" s="118" t="s">
        <v>62</v>
      </c>
      <c r="D44" s="119">
        <v>2001</v>
      </c>
      <c r="E44" s="76">
        <v>84</v>
      </c>
      <c r="F44" s="76">
        <v>84</v>
      </c>
      <c r="G44" s="76">
        <v>83</v>
      </c>
      <c r="H44" s="76">
        <v>85</v>
      </c>
      <c r="I44" s="76">
        <v>84</v>
      </c>
      <c r="J44" s="76">
        <v>252</v>
      </c>
      <c r="K44" s="146" t="s">
        <v>466</v>
      </c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4" customHeight="1">
      <c r="A45" s="113">
        <f>A44</f>
        <v>3</v>
      </c>
      <c r="B45" s="117" t="s">
        <v>589</v>
      </c>
      <c r="C45" s="118" t="s">
        <v>62</v>
      </c>
      <c r="D45" s="119">
        <v>2007</v>
      </c>
      <c r="E45" s="113">
        <f>E44</f>
        <v>84</v>
      </c>
      <c r="F45" s="113">
        <f>F44</f>
        <v>84</v>
      </c>
      <c r="G45" s="113">
        <f>G44</f>
        <v>83</v>
      </c>
      <c r="H45" s="113">
        <f>H44</f>
        <v>85</v>
      </c>
      <c r="I45" s="113">
        <f>I44</f>
        <v>84</v>
      </c>
      <c r="J45" s="113">
        <f>J44</f>
        <v>252</v>
      </c>
      <c r="K45" s="113" t="str">
        <f>K44</f>
        <v>Hạng 2</v>
      </c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4" customHeight="1">
      <c r="A46" s="79">
        <f>A45</f>
        <v>3</v>
      </c>
      <c r="B46" s="117" t="s">
        <v>601</v>
      </c>
      <c r="C46" s="118" t="s">
        <v>62</v>
      </c>
      <c r="D46" s="119">
        <v>2005</v>
      </c>
      <c r="E46" s="79">
        <f>E45</f>
        <v>84</v>
      </c>
      <c r="F46" s="79">
        <f>F45</f>
        <v>84</v>
      </c>
      <c r="G46" s="79">
        <f>G45</f>
        <v>83</v>
      </c>
      <c r="H46" s="79">
        <f>H45</f>
        <v>85</v>
      </c>
      <c r="I46" s="79">
        <f>I45</f>
        <v>84</v>
      </c>
      <c r="J46" s="79">
        <f>J45</f>
        <v>252</v>
      </c>
      <c r="K46" s="79" t="str">
        <f>K45</f>
        <v>Hạng 2</v>
      </c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4" customHeight="1">
      <c r="A47" s="76">
        <v>2</v>
      </c>
      <c r="B47" s="117" t="s">
        <v>617</v>
      </c>
      <c r="C47" s="118" t="s">
        <v>51</v>
      </c>
      <c r="D47" s="119">
        <v>2007</v>
      </c>
      <c r="E47" s="76">
        <v>83</v>
      </c>
      <c r="F47" s="76">
        <v>83</v>
      </c>
      <c r="G47" s="76">
        <v>84</v>
      </c>
      <c r="H47" s="76">
        <v>83</v>
      </c>
      <c r="I47" s="76">
        <v>83</v>
      </c>
      <c r="J47" s="76">
        <v>249</v>
      </c>
      <c r="K47" s="76" t="s">
        <v>460</v>
      </c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4" customHeight="1">
      <c r="A48" s="113">
        <f>A47</f>
        <v>2</v>
      </c>
      <c r="B48" s="117" t="s">
        <v>618</v>
      </c>
      <c r="C48" s="118" t="s">
        <v>51</v>
      </c>
      <c r="D48" s="119">
        <v>2008</v>
      </c>
      <c r="E48" s="113">
        <f>E47</f>
        <v>83</v>
      </c>
      <c r="F48" s="113">
        <f>F47</f>
        <v>83</v>
      </c>
      <c r="G48" s="113">
        <f>G47</f>
        <v>84</v>
      </c>
      <c r="H48" s="113">
        <f>H47</f>
        <v>83</v>
      </c>
      <c r="I48" s="113">
        <f>I47</f>
        <v>83</v>
      </c>
      <c r="J48" s="113">
        <f>J47</f>
        <v>249</v>
      </c>
      <c r="K48" s="113" t="str">
        <f>K47</f>
        <v>Hạng 3</v>
      </c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4" customHeight="1">
      <c r="A49" s="79">
        <f>A48</f>
        <v>2</v>
      </c>
      <c r="B49" s="129" t="s">
        <v>592</v>
      </c>
      <c r="C49" s="118" t="s">
        <v>51</v>
      </c>
      <c r="D49" s="121">
        <v>2006</v>
      </c>
      <c r="E49" s="79">
        <f>E48</f>
        <v>83</v>
      </c>
      <c r="F49" s="79">
        <f>F48</f>
        <v>83</v>
      </c>
      <c r="G49" s="79">
        <f>G48</f>
        <v>84</v>
      </c>
      <c r="H49" s="79">
        <f>H48</f>
        <v>83</v>
      </c>
      <c r="I49" s="79">
        <f>I48</f>
        <v>83</v>
      </c>
      <c r="J49" s="79">
        <f>J48</f>
        <v>249</v>
      </c>
      <c r="K49" s="79" t="str">
        <f>K48</f>
        <v>Hạng 3</v>
      </c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4" customHeight="1">
      <c r="A50" s="76">
        <v>5</v>
      </c>
      <c r="B50" s="117" t="s">
        <v>604</v>
      </c>
      <c r="C50" s="142" t="s">
        <v>40</v>
      </c>
      <c r="D50" s="119">
        <v>2008</v>
      </c>
      <c r="E50" s="76">
        <v>83</v>
      </c>
      <c r="F50" s="76">
        <v>83</v>
      </c>
      <c r="G50" s="76">
        <v>83</v>
      </c>
      <c r="H50" s="76">
        <v>83</v>
      </c>
      <c r="I50" s="76">
        <v>81</v>
      </c>
      <c r="J50" s="76">
        <v>249</v>
      </c>
      <c r="K50" s="76" t="s">
        <v>460</v>
      </c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spans="1:26" ht="14" customHeight="1">
      <c r="A51" s="113">
        <f>A50</f>
        <v>5</v>
      </c>
      <c r="B51" s="117" t="s">
        <v>621</v>
      </c>
      <c r="C51" s="142" t="s">
        <v>40</v>
      </c>
      <c r="D51" s="119">
        <v>2007</v>
      </c>
      <c r="E51" s="113">
        <f>E50</f>
        <v>83</v>
      </c>
      <c r="F51" s="113">
        <f>F50</f>
        <v>83</v>
      </c>
      <c r="G51" s="113">
        <f>G50</f>
        <v>83</v>
      </c>
      <c r="H51" s="113">
        <f>H50</f>
        <v>83</v>
      </c>
      <c r="I51" s="113">
        <f>I50</f>
        <v>81</v>
      </c>
      <c r="J51" s="113">
        <f>J50</f>
        <v>249</v>
      </c>
      <c r="K51" s="113" t="str">
        <f>K50</f>
        <v>Hạng 3</v>
      </c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spans="1:26" ht="14" customHeight="1">
      <c r="A52" s="79">
        <f>A51</f>
        <v>5</v>
      </c>
      <c r="B52" s="117" t="s">
        <v>622</v>
      </c>
      <c r="C52" s="142" t="s">
        <v>40</v>
      </c>
      <c r="D52" s="119">
        <v>2003</v>
      </c>
      <c r="E52" s="79">
        <f>E51</f>
        <v>83</v>
      </c>
      <c r="F52" s="79">
        <f>F51</f>
        <v>83</v>
      </c>
      <c r="G52" s="79">
        <f>G51</f>
        <v>83</v>
      </c>
      <c r="H52" s="79">
        <f>H51</f>
        <v>83</v>
      </c>
      <c r="I52" s="79">
        <f>I51</f>
        <v>81</v>
      </c>
      <c r="J52" s="79">
        <f>J51</f>
        <v>249</v>
      </c>
      <c r="K52" s="79" t="str">
        <f>K51</f>
        <v>Hạng 3</v>
      </c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14" customHeight="1">
      <c r="A53" s="76">
        <v>4</v>
      </c>
      <c r="B53" s="130" t="s">
        <v>591</v>
      </c>
      <c r="C53" s="143" t="s">
        <v>27</v>
      </c>
      <c r="D53" s="145">
        <v>2008</v>
      </c>
      <c r="E53" s="76">
        <v>80</v>
      </c>
      <c r="F53" s="76">
        <v>80</v>
      </c>
      <c r="G53" s="76">
        <v>80</v>
      </c>
      <c r="H53" s="76">
        <v>80</v>
      </c>
      <c r="I53" s="76">
        <v>80</v>
      </c>
      <c r="J53" s="76">
        <f>80+80+80</f>
        <v>240</v>
      </c>
      <c r="K53" s="76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4" customHeight="1">
      <c r="A54" s="113">
        <f>A53</f>
        <v>4</v>
      </c>
      <c r="B54" s="130" t="s">
        <v>606</v>
      </c>
      <c r="C54" s="143" t="s">
        <v>27</v>
      </c>
      <c r="D54" s="145">
        <v>2006</v>
      </c>
      <c r="E54" s="113">
        <f>E53</f>
        <v>80</v>
      </c>
      <c r="F54" s="113">
        <f>F53</f>
        <v>80</v>
      </c>
      <c r="G54" s="113">
        <f>G53</f>
        <v>80</v>
      </c>
      <c r="H54" s="113">
        <f>H53</f>
        <v>80</v>
      </c>
      <c r="I54" s="113">
        <f>I53</f>
        <v>80</v>
      </c>
      <c r="J54" s="113">
        <f>J53</f>
        <v>240</v>
      </c>
      <c r="K54" s="113">
        <f>K53</f>
        <v>0</v>
      </c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4" customHeight="1">
      <c r="A55" s="79">
        <f>A54</f>
        <v>4</v>
      </c>
      <c r="B55" s="130" t="s">
        <v>620</v>
      </c>
      <c r="C55" s="143" t="s">
        <v>27</v>
      </c>
      <c r="D55" s="145">
        <v>2007</v>
      </c>
      <c r="E55" s="79">
        <f>E54</f>
        <v>80</v>
      </c>
      <c r="F55" s="79">
        <f>F54</f>
        <v>80</v>
      </c>
      <c r="G55" s="79">
        <f>G54</f>
        <v>80</v>
      </c>
      <c r="H55" s="79">
        <f>H54</f>
        <v>80</v>
      </c>
      <c r="I55" s="79">
        <f>I54</f>
        <v>80</v>
      </c>
      <c r="J55" s="79">
        <f>J54</f>
        <v>240</v>
      </c>
      <c r="K55" s="79">
        <f>K54</f>
        <v>0</v>
      </c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3.4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3.4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>
      <c r="A58" s="114" t="s">
        <v>623</v>
      </c>
      <c r="B58" s="88"/>
      <c r="C58" s="88"/>
      <c r="D58" s="88"/>
      <c r="E58" s="88"/>
      <c r="F58" s="88"/>
      <c r="G58" s="88"/>
      <c r="H58" s="88"/>
      <c r="I58" s="88"/>
      <c r="J58" s="88"/>
      <c r="K58" s="89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45">
      <c r="A59" s="115" t="s">
        <v>453</v>
      </c>
      <c r="B59" s="115" t="s">
        <v>454</v>
      </c>
      <c r="C59" s="115" t="s">
        <v>9</v>
      </c>
      <c r="D59" s="116" t="s">
        <v>455</v>
      </c>
      <c r="E59" s="90" t="s">
        <v>456</v>
      </c>
      <c r="F59" s="91"/>
      <c r="G59" s="91"/>
      <c r="H59" s="91"/>
      <c r="I59" s="92"/>
      <c r="J59" s="116" t="s">
        <v>457</v>
      </c>
      <c r="K59" s="116" t="s">
        <v>458</v>
      </c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>
      <c r="A60" s="93"/>
      <c r="B60" s="93"/>
      <c r="C60" s="93"/>
      <c r="D60" s="93"/>
      <c r="E60" s="7">
        <v>1</v>
      </c>
      <c r="F60" s="7">
        <v>2</v>
      </c>
      <c r="G60" s="7">
        <v>3</v>
      </c>
      <c r="H60" s="7">
        <v>4</v>
      </c>
      <c r="I60" s="7">
        <v>5</v>
      </c>
      <c r="J60" s="93"/>
      <c r="K60" s="93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>
      <c r="A61" s="94"/>
      <c r="B61" s="94"/>
      <c r="C61" s="94"/>
      <c r="D61" s="94"/>
      <c r="E61" s="7" t="s">
        <v>624</v>
      </c>
      <c r="F61" s="7" t="s">
        <v>611</v>
      </c>
      <c r="G61" s="7" t="s">
        <v>615</v>
      </c>
      <c r="H61" s="7" t="s">
        <v>612</v>
      </c>
      <c r="I61" s="7" t="s">
        <v>625</v>
      </c>
      <c r="J61" s="94"/>
      <c r="K61" s="94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4" customHeight="1">
      <c r="A62" s="76">
        <v>3</v>
      </c>
      <c r="B62" s="117" t="s">
        <v>633</v>
      </c>
      <c r="C62" s="118" t="s">
        <v>23</v>
      </c>
      <c r="D62" s="119">
        <v>2003</v>
      </c>
      <c r="E62" s="76">
        <v>86</v>
      </c>
      <c r="F62" s="76">
        <v>86</v>
      </c>
      <c r="G62" s="76">
        <v>86</v>
      </c>
      <c r="H62" s="76">
        <v>87</v>
      </c>
      <c r="I62" s="76">
        <v>86</v>
      </c>
      <c r="J62" s="76">
        <v>258</v>
      </c>
      <c r="K62" s="76" t="s">
        <v>462</v>
      </c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4" customHeight="1">
      <c r="A63" s="113"/>
      <c r="B63" s="117" t="s">
        <v>590</v>
      </c>
      <c r="C63" s="118" t="s">
        <v>23</v>
      </c>
      <c r="D63" s="119">
        <v>2007</v>
      </c>
      <c r="E63" s="113"/>
      <c r="F63" s="113">
        <f>F62</f>
        <v>86</v>
      </c>
      <c r="G63" s="113">
        <f>G62</f>
        <v>86</v>
      </c>
      <c r="H63" s="113">
        <f>H62</f>
        <v>87</v>
      </c>
      <c r="I63" s="113">
        <f>I62</f>
        <v>86</v>
      </c>
      <c r="J63" s="113">
        <f>J62</f>
        <v>258</v>
      </c>
      <c r="K63" s="113" t="str">
        <f>K62</f>
        <v>Hạng 1</v>
      </c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4" customHeight="1">
      <c r="A64" s="113"/>
      <c r="B64" s="117" t="s">
        <v>634</v>
      </c>
      <c r="C64" s="118" t="s">
        <v>23</v>
      </c>
      <c r="D64" s="119">
        <v>2004</v>
      </c>
      <c r="E64" s="113"/>
      <c r="F64" s="113">
        <f>F63</f>
        <v>86</v>
      </c>
      <c r="G64" s="113">
        <f>G63</f>
        <v>86</v>
      </c>
      <c r="H64" s="113">
        <f>H63</f>
        <v>87</v>
      </c>
      <c r="I64" s="113">
        <f>I63</f>
        <v>86</v>
      </c>
      <c r="J64" s="113">
        <f>J63</f>
        <v>258</v>
      </c>
      <c r="K64" s="113" t="str">
        <f>K63</f>
        <v>Hạng 1</v>
      </c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4" customHeight="1">
      <c r="A65" s="79"/>
      <c r="B65" s="117" t="s">
        <v>635</v>
      </c>
      <c r="C65" s="118" t="s">
        <v>23</v>
      </c>
      <c r="D65" s="119">
        <v>2007</v>
      </c>
      <c r="E65" s="79"/>
      <c r="F65" s="79">
        <f>F64</f>
        <v>86</v>
      </c>
      <c r="G65" s="79">
        <f>G64</f>
        <v>86</v>
      </c>
      <c r="H65" s="79">
        <f>H64</f>
        <v>87</v>
      </c>
      <c r="I65" s="79">
        <f>I64</f>
        <v>86</v>
      </c>
      <c r="J65" s="79">
        <f>J64</f>
        <v>258</v>
      </c>
      <c r="K65" s="79" t="str">
        <f>K64</f>
        <v>Hạng 1</v>
      </c>
      <c r="L65" s="98"/>
      <c r="M65" s="134" t="s">
        <v>638</v>
      </c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4" customHeight="1">
      <c r="A66" s="76">
        <v>4</v>
      </c>
      <c r="B66" s="117" t="s">
        <v>636</v>
      </c>
      <c r="C66" s="118" t="s">
        <v>44</v>
      </c>
      <c r="D66" s="119">
        <v>2006</v>
      </c>
      <c r="E66" s="76">
        <v>86</v>
      </c>
      <c r="F66" s="76">
        <v>86</v>
      </c>
      <c r="G66" s="76">
        <v>86</v>
      </c>
      <c r="H66" s="76">
        <v>87</v>
      </c>
      <c r="I66" s="76">
        <v>86</v>
      </c>
      <c r="J66" s="76">
        <v>258</v>
      </c>
      <c r="K66" s="76" t="s">
        <v>466</v>
      </c>
      <c r="L66" s="134" t="s">
        <v>637</v>
      </c>
      <c r="M66" s="149">
        <v>85</v>
      </c>
      <c r="N66" s="149">
        <v>86</v>
      </c>
      <c r="O66" s="149">
        <v>86</v>
      </c>
      <c r="P66" s="149">
        <v>86</v>
      </c>
      <c r="Q66" s="149">
        <v>87</v>
      </c>
      <c r="R66" s="149">
        <v>258</v>
      </c>
      <c r="S66" s="149" t="s">
        <v>639</v>
      </c>
      <c r="T66" s="98"/>
      <c r="U66" s="98"/>
      <c r="V66" s="98"/>
      <c r="W66" s="98"/>
      <c r="X66" s="98"/>
      <c r="Y66" s="98"/>
      <c r="Z66" s="98"/>
    </row>
    <row r="67" spans="1:26">
      <c r="A67" s="113">
        <f>A66</f>
        <v>4</v>
      </c>
      <c r="B67" s="117" t="s">
        <v>598</v>
      </c>
      <c r="C67" s="118" t="s">
        <v>44</v>
      </c>
      <c r="D67" s="119">
        <v>2006</v>
      </c>
      <c r="E67" s="113"/>
      <c r="F67" s="113">
        <f t="shared" ref="F67:F77" si="0">F66</f>
        <v>86</v>
      </c>
      <c r="G67" s="113">
        <f t="shared" ref="G67:G77" si="1">G66</f>
        <v>86</v>
      </c>
      <c r="H67" s="113">
        <f t="shared" ref="H67:H77" si="2">H66</f>
        <v>87</v>
      </c>
      <c r="I67" s="113">
        <f t="shared" ref="I67:I77" si="3">I66</f>
        <v>86</v>
      </c>
      <c r="J67" s="113">
        <f t="shared" ref="J67:J77" si="4">J66</f>
        <v>258</v>
      </c>
      <c r="K67" s="113" t="str">
        <f t="shared" ref="K67:K77" si="5">K66</f>
        <v>Hạng 2</v>
      </c>
      <c r="L67" s="98"/>
      <c r="M67" s="149"/>
      <c r="N67" s="149">
        <v>86</v>
      </c>
      <c r="O67" s="149">
        <v>86</v>
      </c>
      <c r="P67" s="149">
        <v>86</v>
      </c>
      <c r="Q67" s="149">
        <v>87</v>
      </c>
      <c r="R67" s="149">
        <v>258</v>
      </c>
      <c r="S67" s="149" t="s">
        <v>639</v>
      </c>
      <c r="T67" s="98"/>
      <c r="U67" s="98"/>
      <c r="V67" s="98"/>
      <c r="W67" s="98"/>
      <c r="X67" s="98"/>
      <c r="Y67" s="98"/>
      <c r="Z67" s="98"/>
    </row>
    <row r="68" spans="1:26" ht="14" customHeight="1">
      <c r="A68" s="113">
        <f>A67</f>
        <v>4</v>
      </c>
      <c r="B68" s="117" t="s">
        <v>640</v>
      </c>
      <c r="C68" s="118" t="s">
        <v>44</v>
      </c>
      <c r="D68" s="119">
        <v>2006</v>
      </c>
      <c r="E68" s="113"/>
      <c r="F68" s="113">
        <f t="shared" si="0"/>
        <v>86</v>
      </c>
      <c r="G68" s="113">
        <f t="shared" si="1"/>
        <v>86</v>
      </c>
      <c r="H68" s="113">
        <f t="shared" si="2"/>
        <v>87</v>
      </c>
      <c r="I68" s="113">
        <f t="shared" si="3"/>
        <v>86</v>
      </c>
      <c r="J68" s="113">
        <f t="shared" si="4"/>
        <v>258</v>
      </c>
      <c r="K68" s="113" t="str">
        <f t="shared" si="5"/>
        <v>Hạng 2</v>
      </c>
      <c r="L68" s="98"/>
      <c r="M68" s="149"/>
      <c r="N68" s="149"/>
      <c r="O68" s="149"/>
      <c r="P68" s="149"/>
      <c r="Q68" s="149"/>
      <c r="R68" s="149"/>
      <c r="S68" s="149"/>
      <c r="T68" s="98"/>
      <c r="U68" s="98"/>
      <c r="V68" s="98"/>
      <c r="W68" s="98"/>
      <c r="X68" s="98"/>
      <c r="Y68" s="98"/>
      <c r="Z68" s="98"/>
    </row>
    <row r="69" spans="1:26" ht="14" customHeight="1">
      <c r="A69" s="79">
        <f>A68</f>
        <v>4</v>
      </c>
      <c r="B69" s="117" t="s">
        <v>599</v>
      </c>
      <c r="C69" s="118" t="s">
        <v>44</v>
      </c>
      <c r="D69" s="119">
        <v>2006</v>
      </c>
      <c r="E69" s="79"/>
      <c r="F69" s="79">
        <f t="shared" si="0"/>
        <v>86</v>
      </c>
      <c r="G69" s="79">
        <f t="shared" si="1"/>
        <v>86</v>
      </c>
      <c r="H69" s="79">
        <f t="shared" si="2"/>
        <v>87</v>
      </c>
      <c r="I69" s="79">
        <f t="shared" si="3"/>
        <v>86</v>
      </c>
      <c r="J69" s="79">
        <f t="shared" si="4"/>
        <v>258</v>
      </c>
      <c r="K69" s="79" t="str">
        <f t="shared" si="5"/>
        <v>Hạng 2</v>
      </c>
      <c r="L69" s="98"/>
      <c r="M69" s="149"/>
      <c r="N69" s="149"/>
      <c r="O69" s="149"/>
      <c r="P69" s="149"/>
      <c r="Q69" s="149"/>
      <c r="R69" s="149"/>
      <c r="S69" s="149"/>
      <c r="T69" s="98"/>
      <c r="U69" s="98"/>
      <c r="V69" s="98"/>
      <c r="W69" s="98"/>
      <c r="X69" s="98"/>
      <c r="Y69" s="98"/>
      <c r="Z69" s="98"/>
    </row>
    <row r="70" spans="1:26" ht="14" customHeight="1">
      <c r="A70" s="76">
        <v>7</v>
      </c>
      <c r="B70" s="117" t="s">
        <v>619</v>
      </c>
      <c r="C70" s="120" t="s">
        <v>62</v>
      </c>
      <c r="D70" s="119">
        <v>2001</v>
      </c>
      <c r="E70" s="76">
        <v>86</v>
      </c>
      <c r="F70" s="76">
        <v>86</v>
      </c>
      <c r="G70" s="76">
        <v>86</v>
      </c>
      <c r="H70" s="76">
        <v>87</v>
      </c>
      <c r="I70" s="76">
        <v>86</v>
      </c>
      <c r="J70" s="76">
        <v>258</v>
      </c>
      <c r="K70" s="76" t="s">
        <v>460</v>
      </c>
      <c r="L70" s="134" t="s">
        <v>637</v>
      </c>
      <c r="M70" s="149">
        <v>85</v>
      </c>
      <c r="N70" s="149">
        <v>86</v>
      </c>
      <c r="O70" s="149">
        <v>86</v>
      </c>
      <c r="P70" s="149">
        <v>86</v>
      </c>
      <c r="Q70" s="149">
        <v>88</v>
      </c>
      <c r="R70" s="149">
        <v>258</v>
      </c>
      <c r="S70" s="149" t="s">
        <v>644</v>
      </c>
      <c r="T70" s="98"/>
      <c r="U70" s="98"/>
      <c r="V70" s="98"/>
      <c r="W70" s="98"/>
      <c r="X70" s="98"/>
      <c r="Y70" s="98"/>
      <c r="Z70" s="98"/>
    </row>
    <row r="71" spans="1:26">
      <c r="A71" s="113">
        <f>A70</f>
        <v>7</v>
      </c>
      <c r="B71" s="117" t="s">
        <v>645</v>
      </c>
      <c r="C71" s="120" t="s">
        <v>62</v>
      </c>
      <c r="D71" s="121">
        <v>1998</v>
      </c>
      <c r="E71" s="113"/>
      <c r="F71" s="113">
        <f t="shared" ref="F71:F77" si="6">F70</f>
        <v>86</v>
      </c>
      <c r="G71" s="113">
        <f t="shared" ref="G71:G77" si="7">G70</f>
        <v>86</v>
      </c>
      <c r="H71" s="113">
        <f t="shared" ref="H71:H77" si="8">H70</f>
        <v>87</v>
      </c>
      <c r="I71" s="113">
        <f t="shared" ref="I71:I77" si="9">I70</f>
        <v>86</v>
      </c>
      <c r="J71" s="113">
        <f t="shared" ref="J71:J77" si="10">J70</f>
        <v>258</v>
      </c>
      <c r="K71" s="113" t="str">
        <f t="shared" ref="K71:K77" si="11">K70</f>
        <v>Hạng 3</v>
      </c>
      <c r="L71" s="134"/>
      <c r="M71" s="149"/>
      <c r="N71" s="149">
        <v>86</v>
      </c>
      <c r="O71" s="149">
        <v>86</v>
      </c>
      <c r="P71" s="149">
        <v>86</v>
      </c>
      <c r="Q71" s="149">
        <v>88</v>
      </c>
      <c r="R71" s="149">
        <v>258</v>
      </c>
      <c r="S71" s="149" t="s">
        <v>644</v>
      </c>
      <c r="T71" s="98"/>
      <c r="U71" s="98"/>
      <c r="V71" s="98"/>
      <c r="W71" s="98"/>
      <c r="X71" s="98"/>
      <c r="Y71" s="98"/>
      <c r="Z71" s="98"/>
    </row>
    <row r="72" spans="1:26" ht="14" customHeight="1">
      <c r="A72" s="113">
        <f>A71</f>
        <v>7</v>
      </c>
      <c r="B72" s="133" t="s">
        <v>646</v>
      </c>
      <c r="C72" s="120" t="s">
        <v>62</v>
      </c>
      <c r="D72" s="119">
        <v>2007</v>
      </c>
      <c r="E72" s="113"/>
      <c r="F72" s="113">
        <f t="shared" si="6"/>
        <v>86</v>
      </c>
      <c r="G72" s="113">
        <f t="shared" si="7"/>
        <v>86</v>
      </c>
      <c r="H72" s="113">
        <f t="shared" si="8"/>
        <v>87</v>
      </c>
      <c r="I72" s="113">
        <f t="shared" si="9"/>
        <v>86</v>
      </c>
      <c r="J72" s="113">
        <f t="shared" si="10"/>
        <v>258</v>
      </c>
      <c r="K72" s="113" t="str">
        <f t="shared" si="11"/>
        <v>Hạng 3</v>
      </c>
      <c r="L72" s="98"/>
      <c r="M72" s="149"/>
      <c r="N72" s="149"/>
      <c r="O72" s="149"/>
      <c r="P72" s="149"/>
      <c r="Q72" s="149"/>
      <c r="R72" s="149"/>
      <c r="S72" s="149"/>
      <c r="T72" s="98"/>
      <c r="U72" s="98"/>
      <c r="V72" s="98"/>
      <c r="W72" s="98"/>
      <c r="X72" s="98"/>
      <c r="Y72" s="98"/>
      <c r="Z72" s="98"/>
    </row>
    <row r="73" spans="1:26" ht="14" customHeight="1">
      <c r="A73" s="79">
        <f>A72</f>
        <v>7</v>
      </c>
      <c r="B73" s="133" t="s">
        <v>601</v>
      </c>
      <c r="C73" s="120" t="s">
        <v>62</v>
      </c>
      <c r="D73" s="119">
        <v>2005</v>
      </c>
      <c r="E73" s="79"/>
      <c r="F73" s="79">
        <f t="shared" si="6"/>
        <v>86</v>
      </c>
      <c r="G73" s="79">
        <f t="shared" si="7"/>
        <v>86</v>
      </c>
      <c r="H73" s="79">
        <f t="shared" si="8"/>
        <v>87</v>
      </c>
      <c r="I73" s="79">
        <f t="shared" si="9"/>
        <v>86</v>
      </c>
      <c r="J73" s="79">
        <f t="shared" si="10"/>
        <v>258</v>
      </c>
      <c r="K73" s="79" t="str">
        <f t="shared" si="11"/>
        <v>Hạng 3</v>
      </c>
      <c r="L73" s="98"/>
      <c r="M73" s="149"/>
      <c r="N73" s="149"/>
      <c r="O73" s="149"/>
      <c r="P73" s="149"/>
      <c r="Q73" s="149"/>
      <c r="R73" s="149"/>
      <c r="S73" s="149"/>
      <c r="T73" s="98"/>
      <c r="U73" s="98"/>
      <c r="V73" s="98"/>
      <c r="W73" s="98"/>
      <c r="X73" s="98"/>
      <c r="Y73" s="98"/>
      <c r="Z73" s="98"/>
    </row>
    <row r="74" spans="1:26" ht="15.05" customHeight="1">
      <c r="A74" s="76">
        <v>1</v>
      </c>
      <c r="B74" s="117" t="s">
        <v>626</v>
      </c>
      <c r="C74" s="118" t="s">
        <v>51</v>
      </c>
      <c r="D74" s="119">
        <v>2008</v>
      </c>
      <c r="E74" s="76">
        <v>86</v>
      </c>
      <c r="F74" s="76">
        <v>86</v>
      </c>
      <c r="G74" s="76">
        <v>86</v>
      </c>
      <c r="H74" s="76">
        <v>87</v>
      </c>
      <c r="I74" s="76">
        <v>86</v>
      </c>
      <c r="J74" s="76">
        <v>258</v>
      </c>
      <c r="K74" s="76" t="s">
        <v>755</v>
      </c>
      <c r="L74" s="98"/>
      <c r="M74" s="147"/>
      <c r="N74" s="147"/>
      <c r="O74" s="147"/>
      <c r="P74" s="147"/>
      <c r="Q74" s="147"/>
      <c r="R74" s="147"/>
      <c r="S74" s="148"/>
      <c r="T74" s="98"/>
      <c r="U74" s="98"/>
      <c r="V74" s="98"/>
      <c r="W74" s="98"/>
      <c r="X74" s="98"/>
      <c r="Y74" s="98"/>
      <c r="Z74" s="98"/>
    </row>
    <row r="75" spans="1:26" ht="14" customHeight="1">
      <c r="A75" s="113">
        <f>A74</f>
        <v>1</v>
      </c>
      <c r="B75" s="117" t="s">
        <v>607</v>
      </c>
      <c r="C75" s="118" t="s">
        <v>51</v>
      </c>
      <c r="D75" s="119">
        <v>2007</v>
      </c>
      <c r="E75" s="113"/>
      <c r="F75" s="113">
        <f t="shared" ref="F75:F77" si="12">F74</f>
        <v>86</v>
      </c>
      <c r="G75" s="113">
        <f t="shared" ref="G75:G77" si="13">G74</f>
        <v>86</v>
      </c>
      <c r="H75" s="113">
        <f t="shared" ref="H75:H77" si="14">H74</f>
        <v>87</v>
      </c>
      <c r="I75" s="113">
        <f t="shared" ref="I75:I77" si="15">I74</f>
        <v>86</v>
      </c>
      <c r="J75" s="113">
        <f t="shared" ref="J75:J77" si="16">J74</f>
        <v>258</v>
      </c>
      <c r="K75" s="113" t="str">
        <f t="shared" ref="K75:K77" si="17">K74</f>
        <v>Hạng 4</v>
      </c>
      <c r="L75" s="98"/>
      <c r="M75" s="98"/>
      <c r="N75" s="98"/>
      <c r="O75" s="98"/>
      <c r="P75" s="98"/>
      <c r="Q75" s="98"/>
      <c r="R75" s="98"/>
    </row>
    <row r="76" spans="1:26" ht="14" customHeight="1">
      <c r="A76" s="113">
        <f>A75</f>
        <v>1</v>
      </c>
      <c r="B76" s="117" t="s">
        <v>627</v>
      </c>
      <c r="C76" s="118" t="s">
        <v>51</v>
      </c>
      <c r="D76" s="119">
        <v>2006</v>
      </c>
      <c r="E76" s="113"/>
      <c r="F76" s="113">
        <f t="shared" si="12"/>
        <v>86</v>
      </c>
      <c r="G76" s="113">
        <f t="shared" si="13"/>
        <v>86</v>
      </c>
      <c r="H76" s="113">
        <f t="shared" si="14"/>
        <v>87</v>
      </c>
      <c r="I76" s="113">
        <f t="shared" si="15"/>
        <v>86</v>
      </c>
      <c r="J76" s="113">
        <f t="shared" si="16"/>
        <v>258</v>
      </c>
      <c r="K76" s="113" t="str">
        <f t="shared" si="17"/>
        <v>Hạng 4</v>
      </c>
      <c r="L76" s="98"/>
      <c r="M76" s="98"/>
      <c r="N76" s="98"/>
      <c r="O76" s="98"/>
      <c r="P76" s="98"/>
      <c r="Q76" s="98"/>
      <c r="R76" s="98"/>
    </row>
    <row r="77" spans="1:26" ht="14" customHeight="1">
      <c r="A77" s="79">
        <f>A76</f>
        <v>1</v>
      </c>
      <c r="B77" s="117" t="s">
        <v>628</v>
      </c>
      <c r="C77" s="118" t="s">
        <v>51</v>
      </c>
      <c r="D77" s="119">
        <v>2006</v>
      </c>
      <c r="E77" s="79"/>
      <c r="F77" s="79">
        <f t="shared" si="12"/>
        <v>86</v>
      </c>
      <c r="G77" s="79">
        <f t="shared" si="13"/>
        <v>86</v>
      </c>
      <c r="H77" s="79">
        <f t="shared" si="14"/>
        <v>87</v>
      </c>
      <c r="I77" s="79">
        <f t="shared" si="15"/>
        <v>86</v>
      </c>
      <c r="J77" s="79">
        <f t="shared" si="16"/>
        <v>258</v>
      </c>
      <c r="K77" s="79" t="str">
        <f t="shared" si="17"/>
        <v>Hạng 4</v>
      </c>
      <c r="L77" s="98"/>
      <c r="M77" s="98"/>
      <c r="N77" s="98"/>
      <c r="O77" s="98"/>
      <c r="P77" s="98"/>
      <c r="Q77" s="98"/>
      <c r="R77" s="98"/>
    </row>
    <row r="78" spans="1:26" ht="14" customHeight="1">
      <c r="A78" s="76">
        <v>6</v>
      </c>
      <c r="B78" s="117" t="s">
        <v>602</v>
      </c>
      <c r="C78" s="118" t="s">
        <v>326</v>
      </c>
      <c r="D78" s="119">
        <v>2007</v>
      </c>
      <c r="E78" s="76">
        <v>83</v>
      </c>
      <c r="F78" s="76">
        <v>84</v>
      </c>
      <c r="G78" s="76">
        <v>83</v>
      </c>
      <c r="H78" s="76">
        <v>85</v>
      </c>
      <c r="I78" s="76">
        <v>85</v>
      </c>
      <c r="J78" s="76">
        <v>252</v>
      </c>
      <c r="K78" s="76"/>
      <c r="L78" s="98"/>
      <c r="M78" s="98"/>
      <c r="N78" s="98"/>
      <c r="O78" s="98"/>
      <c r="P78" s="98"/>
      <c r="Q78" s="98"/>
      <c r="R78" s="98"/>
    </row>
    <row r="79" spans="1:26" ht="14" customHeight="1">
      <c r="A79" s="113">
        <f>A78</f>
        <v>6</v>
      </c>
      <c r="B79" s="117" t="s">
        <v>643</v>
      </c>
      <c r="C79" s="118" t="s">
        <v>326</v>
      </c>
      <c r="D79" s="119">
        <v>2007</v>
      </c>
      <c r="E79" s="113">
        <f>E78</f>
        <v>83</v>
      </c>
      <c r="F79" s="113">
        <f>F78</f>
        <v>84</v>
      </c>
      <c r="G79" s="113">
        <f>G78</f>
        <v>83</v>
      </c>
      <c r="H79" s="113">
        <f>H78</f>
        <v>85</v>
      </c>
      <c r="I79" s="113">
        <f>I78</f>
        <v>85</v>
      </c>
      <c r="J79" s="113">
        <f>J78</f>
        <v>252</v>
      </c>
      <c r="K79" s="113"/>
      <c r="L79" s="98"/>
      <c r="M79" s="98"/>
      <c r="N79" s="98"/>
      <c r="O79" s="98"/>
      <c r="P79" s="98"/>
      <c r="Q79" s="98"/>
      <c r="R79" s="98"/>
    </row>
    <row r="80" spans="1:26" ht="14" customHeight="1">
      <c r="A80" s="113">
        <f>A79</f>
        <v>6</v>
      </c>
      <c r="B80" s="117" t="s">
        <v>594</v>
      </c>
      <c r="C80" s="118" t="s">
        <v>326</v>
      </c>
      <c r="D80" s="119">
        <v>2006</v>
      </c>
      <c r="E80" s="113">
        <f>E79</f>
        <v>83</v>
      </c>
      <c r="F80" s="113">
        <f>F79</f>
        <v>84</v>
      </c>
      <c r="G80" s="113">
        <f>G79</f>
        <v>83</v>
      </c>
      <c r="H80" s="113">
        <f>H79</f>
        <v>85</v>
      </c>
      <c r="I80" s="113">
        <f>I79</f>
        <v>85</v>
      </c>
      <c r="J80" s="113">
        <f>J79</f>
        <v>252</v>
      </c>
      <c r="K80" s="113"/>
      <c r="L80" s="98"/>
      <c r="M80" s="98"/>
      <c r="N80" s="98"/>
      <c r="O80" s="98"/>
      <c r="P80" s="98"/>
      <c r="Q80" s="98"/>
      <c r="R80" s="98"/>
    </row>
    <row r="81" spans="1:26" ht="14" customHeight="1">
      <c r="A81" s="79">
        <f>A80</f>
        <v>6</v>
      </c>
      <c r="B81" s="117" t="s">
        <v>603</v>
      </c>
      <c r="C81" s="118" t="s">
        <v>326</v>
      </c>
      <c r="D81" s="119">
        <v>2006</v>
      </c>
      <c r="E81" s="79">
        <f>E80</f>
        <v>83</v>
      </c>
      <c r="F81" s="79">
        <f>F80</f>
        <v>84</v>
      </c>
      <c r="G81" s="79">
        <f>G80</f>
        <v>83</v>
      </c>
      <c r="H81" s="79">
        <f>H80</f>
        <v>85</v>
      </c>
      <c r="I81" s="79">
        <f>I80</f>
        <v>85</v>
      </c>
      <c r="J81" s="79">
        <f>J80</f>
        <v>252</v>
      </c>
      <c r="K81" s="79"/>
      <c r="L81" s="98"/>
      <c r="M81" s="98"/>
      <c r="N81" s="98"/>
      <c r="O81" s="98"/>
      <c r="P81" s="98"/>
      <c r="Q81" s="98"/>
      <c r="R81" s="98"/>
    </row>
    <row r="82" spans="1:26" ht="14" customHeight="1">
      <c r="A82" s="76">
        <v>5</v>
      </c>
      <c r="B82" s="129" t="s">
        <v>604</v>
      </c>
      <c r="C82" s="120" t="s">
        <v>40</v>
      </c>
      <c r="D82" s="121">
        <v>2008</v>
      </c>
      <c r="E82" s="76">
        <v>83</v>
      </c>
      <c r="F82" s="76">
        <v>84</v>
      </c>
      <c r="G82" s="76">
        <v>84</v>
      </c>
      <c r="H82" s="76">
        <v>83</v>
      </c>
      <c r="I82" s="76">
        <v>84</v>
      </c>
      <c r="J82" s="76">
        <v>251</v>
      </c>
      <c r="K82" s="76"/>
      <c r="L82" s="98"/>
      <c r="M82" s="98"/>
      <c r="N82" s="98"/>
      <c r="O82" s="98"/>
      <c r="P82" s="98"/>
      <c r="Q82" s="98"/>
      <c r="R82" s="98"/>
    </row>
    <row r="83" spans="1:26" ht="14" customHeight="1">
      <c r="A83" s="113">
        <f>A82</f>
        <v>5</v>
      </c>
      <c r="B83" s="117" t="s">
        <v>641</v>
      </c>
      <c r="C83" s="120" t="s">
        <v>40</v>
      </c>
      <c r="D83" s="119">
        <v>2008</v>
      </c>
      <c r="E83" s="113">
        <f>E82</f>
        <v>83</v>
      </c>
      <c r="F83" s="113">
        <f>F82</f>
        <v>84</v>
      </c>
      <c r="G83" s="113">
        <f>G82</f>
        <v>84</v>
      </c>
      <c r="H83" s="113">
        <f>H82</f>
        <v>83</v>
      </c>
      <c r="I83" s="113">
        <f>I82</f>
        <v>84</v>
      </c>
      <c r="J83" s="113">
        <f>J82</f>
        <v>251</v>
      </c>
      <c r="K83" s="113"/>
      <c r="L83" s="98"/>
      <c r="M83" s="98"/>
      <c r="N83" s="98"/>
      <c r="O83" s="98"/>
      <c r="P83" s="98"/>
      <c r="Q83" s="98"/>
      <c r="R83" s="98"/>
    </row>
    <row r="84" spans="1:26" ht="14" customHeight="1">
      <c r="A84" s="113">
        <f>A83</f>
        <v>5</v>
      </c>
      <c r="B84" s="117" t="s">
        <v>642</v>
      </c>
      <c r="C84" s="120" t="s">
        <v>40</v>
      </c>
      <c r="D84" s="119">
        <v>2008</v>
      </c>
      <c r="E84" s="113">
        <f>E83</f>
        <v>83</v>
      </c>
      <c r="F84" s="113">
        <f>F83</f>
        <v>84</v>
      </c>
      <c r="G84" s="113">
        <f>G83</f>
        <v>84</v>
      </c>
      <c r="H84" s="113">
        <f>H83</f>
        <v>83</v>
      </c>
      <c r="I84" s="113">
        <f>I83</f>
        <v>84</v>
      </c>
      <c r="J84" s="113">
        <f>J83</f>
        <v>251</v>
      </c>
      <c r="K84" s="113"/>
      <c r="L84" s="98"/>
      <c r="M84" s="98"/>
      <c r="N84" s="98"/>
      <c r="O84" s="98"/>
      <c r="P84" s="98"/>
      <c r="Q84" s="98"/>
      <c r="R84" s="98"/>
    </row>
    <row r="85" spans="1:26" ht="14" customHeight="1">
      <c r="A85" s="79">
        <f>A84</f>
        <v>5</v>
      </c>
      <c r="B85" s="129" t="s">
        <v>605</v>
      </c>
      <c r="C85" s="135" t="s">
        <v>40</v>
      </c>
      <c r="D85" s="121">
        <v>2008</v>
      </c>
      <c r="E85" s="79">
        <f>E84</f>
        <v>83</v>
      </c>
      <c r="F85" s="79">
        <f>F84</f>
        <v>84</v>
      </c>
      <c r="G85" s="79">
        <f>G84</f>
        <v>84</v>
      </c>
      <c r="H85" s="79">
        <f>H84</f>
        <v>83</v>
      </c>
      <c r="I85" s="79">
        <f>I84</f>
        <v>84</v>
      </c>
      <c r="J85" s="79">
        <f>J84</f>
        <v>251</v>
      </c>
      <c r="K85" s="79"/>
      <c r="L85" s="98"/>
      <c r="M85" s="98"/>
      <c r="N85" s="98"/>
      <c r="O85" s="98"/>
      <c r="P85" s="98"/>
      <c r="Q85" s="98"/>
      <c r="R85" s="98"/>
    </row>
    <row r="86" spans="1:26" ht="14" customHeight="1">
      <c r="A86" s="76">
        <v>2</v>
      </c>
      <c r="B86" s="117" t="s">
        <v>629</v>
      </c>
      <c r="C86" s="120" t="s">
        <v>70</v>
      </c>
      <c r="D86" s="119">
        <v>2008</v>
      </c>
      <c r="E86" s="76">
        <v>82</v>
      </c>
      <c r="F86" s="76">
        <v>82</v>
      </c>
      <c r="G86" s="76">
        <v>83</v>
      </c>
      <c r="H86" s="76">
        <v>82</v>
      </c>
      <c r="I86" s="76">
        <v>82</v>
      </c>
      <c r="J86" s="76">
        <v>246</v>
      </c>
      <c r="K86" s="76"/>
      <c r="L86" s="98"/>
      <c r="M86" s="98"/>
      <c r="N86" s="98"/>
      <c r="O86" s="98"/>
      <c r="P86" s="98"/>
      <c r="Q86" s="98"/>
      <c r="R86" s="98"/>
    </row>
    <row r="87" spans="1:26" ht="14" customHeight="1">
      <c r="A87" s="113">
        <f>A86</f>
        <v>2</v>
      </c>
      <c r="B87" s="117" t="s">
        <v>630</v>
      </c>
      <c r="C87" s="120" t="s">
        <v>70</v>
      </c>
      <c r="D87" s="119">
        <v>2001</v>
      </c>
      <c r="E87" s="113">
        <f>E86</f>
        <v>82</v>
      </c>
      <c r="F87" s="113">
        <f>F86</f>
        <v>82</v>
      </c>
      <c r="G87" s="113">
        <f>G86</f>
        <v>83</v>
      </c>
      <c r="H87" s="113">
        <f>H86</f>
        <v>82</v>
      </c>
      <c r="I87" s="113">
        <f>I86</f>
        <v>82</v>
      </c>
      <c r="J87" s="113">
        <f>J86</f>
        <v>246</v>
      </c>
      <c r="K87" s="113"/>
      <c r="L87" s="98"/>
      <c r="M87" s="98"/>
      <c r="N87" s="98"/>
      <c r="O87" s="98"/>
      <c r="P87" s="98"/>
      <c r="Q87" s="98"/>
      <c r="R87" s="98"/>
    </row>
    <row r="88" spans="1:26" ht="14" customHeight="1">
      <c r="A88" s="113">
        <f>A87</f>
        <v>2</v>
      </c>
      <c r="B88" s="117" t="s">
        <v>631</v>
      </c>
      <c r="C88" s="120" t="s">
        <v>70</v>
      </c>
      <c r="D88" s="119">
        <v>2008</v>
      </c>
      <c r="E88" s="113">
        <f>E87</f>
        <v>82</v>
      </c>
      <c r="F88" s="113">
        <f>F87</f>
        <v>82</v>
      </c>
      <c r="G88" s="113">
        <f>G87</f>
        <v>83</v>
      </c>
      <c r="H88" s="113">
        <f>H87</f>
        <v>82</v>
      </c>
      <c r="I88" s="113">
        <f>I87</f>
        <v>82</v>
      </c>
      <c r="J88" s="113">
        <f>J87</f>
        <v>246</v>
      </c>
      <c r="K88" s="113"/>
      <c r="L88" s="98"/>
      <c r="M88" s="98"/>
      <c r="N88" s="98"/>
      <c r="O88" s="98"/>
      <c r="P88" s="98"/>
      <c r="Q88" s="98"/>
      <c r="R88" s="98"/>
    </row>
    <row r="89" spans="1:26" ht="14" customHeight="1">
      <c r="A89" s="79">
        <f>A88</f>
        <v>2</v>
      </c>
      <c r="B89" s="117" t="s">
        <v>632</v>
      </c>
      <c r="C89" s="120" t="s">
        <v>70</v>
      </c>
      <c r="D89" s="119">
        <v>1996</v>
      </c>
      <c r="E89" s="79">
        <f>E88</f>
        <v>82</v>
      </c>
      <c r="F89" s="79">
        <f>F88</f>
        <v>82</v>
      </c>
      <c r="G89" s="79">
        <f>G88</f>
        <v>83</v>
      </c>
      <c r="H89" s="79">
        <f>H88</f>
        <v>82</v>
      </c>
      <c r="I89" s="79">
        <f>I88</f>
        <v>82</v>
      </c>
      <c r="J89" s="79">
        <f>J88</f>
        <v>246</v>
      </c>
      <c r="K89" s="79"/>
      <c r="L89" s="98"/>
      <c r="M89" s="98"/>
      <c r="N89" s="98"/>
      <c r="O89" s="98"/>
      <c r="P89" s="98"/>
      <c r="Q89" s="98"/>
      <c r="R89" s="98"/>
    </row>
    <row r="90" spans="1:26" ht="13.45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45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>
      <c r="A92" s="114" t="s">
        <v>647</v>
      </c>
      <c r="B92" s="88"/>
      <c r="C92" s="88"/>
      <c r="D92" s="88"/>
      <c r="E92" s="88"/>
      <c r="F92" s="88"/>
      <c r="G92" s="88"/>
      <c r="H92" s="88"/>
      <c r="I92" s="88"/>
      <c r="J92" s="88"/>
      <c r="K92" s="89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45">
      <c r="A93" s="115" t="s">
        <v>453</v>
      </c>
      <c r="B93" s="115" t="s">
        <v>454</v>
      </c>
      <c r="C93" s="115" t="s">
        <v>9</v>
      </c>
      <c r="D93" s="116" t="s">
        <v>455</v>
      </c>
      <c r="E93" s="90" t="s">
        <v>456</v>
      </c>
      <c r="F93" s="91"/>
      <c r="G93" s="91"/>
      <c r="H93" s="91"/>
      <c r="I93" s="92"/>
      <c r="J93" s="116" t="s">
        <v>457</v>
      </c>
      <c r="K93" s="116" t="s">
        <v>458</v>
      </c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>
      <c r="A94" s="93"/>
      <c r="B94" s="93"/>
      <c r="C94" s="93"/>
      <c r="D94" s="93"/>
      <c r="E94" s="7">
        <v>1</v>
      </c>
      <c r="F94" s="7">
        <v>2</v>
      </c>
      <c r="G94" s="7">
        <v>3</v>
      </c>
      <c r="H94" s="7">
        <v>4</v>
      </c>
      <c r="I94" s="7">
        <v>5</v>
      </c>
      <c r="J94" s="93"/>
      <c r="K94" s="93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>
      <c r="A95" s="94"/>
      <c r="B95" s="94"/>
      <c r="C95" s="94"/>
      <c r="D95" s="94"/>
      <c r="E95" s="7" t="s">
        <v>612</v>
      </c>
      <c r="F95" s="7" t="s">
        <v>611</v>
      </c>
      <c r="G95" s="7" t="s">
        <v>648</v>
      </c>
      <c r="H95" s="7" t="s">
        <v>615</v>
      </c>
      <c r="I95" s="7" t="s">
        <v>624</v>
      </c>
      <c r="J95" s="94"/>
      <c r="K95" s="94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4" customHeight="1">
      <c r="A96" s="76">
        <v>4</v>
      </c>
      <c r="B96" s="117" t="s">
        <v>619</v>
      </c>
      <c r="C96" s="118" t="s">
        <v>62</v>
      </c>
      <c r="D96" s="119">
        <v>2001</v>
      </c>
      <c r="E96" s="76">
        <v>87</v>
      </c>
      <c r="F96" s="76">
        <v>87</v>
      </c>
      <c r="G96" s="76">
        <v>87</v>
      </c>
      <c r="H96" s="76">
        <v>86</v>
      </c>
      <c r="I96" s="76">
        <v>85</v>
      </c>
      <c r="J96" s="76">
        <v>260</v>
      </c>
      <c r="K96" s="76" t="s">
        <v>462</v>
      </c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4" customHeight="1">
      <c r="A97" s="113"/>
      <c r="B97" s="117" t="s">
        <v>645</v>
      </c>
      <c r="C97" s="118" t="s">
        <v>62</v>
      </c>
      <c r="D97" s="119">
        <v>1998</v>
      </c>
      <c r="E97" s="113"/>
      <c r="F97" s="113">
        <f>F96</f>
        <v>87</v>
      </c>
      <c r="G97" s="113">
        <f>G96</f>
        <v>87</v>
      </c>
      <c r="H97" s="113">
        <f>H96</f>
        <v>86</v>
      </c>
      <c r="I97" s="113">
        <f>I96</f>
        <v>85</v>
      </c>
      <c r="J97" s="113">
        <f>J96</f>
        <v>260</v>
      </c>
      <c r="K97" s="113" t="str">
        <f>K96</f>
        <v>Hạng 1</v>
      </c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4" customHeight="1">
      <c r="A98" s="113"/>
      <c r="B98" s="117" t="s">
        <v>646</v>
      </c>
      <c r="C98" s="118" t="s">
        <v>62</v>
      </c>
      <c r="D98" s="119">
        <v>2007</v>
      </c>
      <c r="E98" s="113"/>
      <c r="F98" s="113">
        <f>F97</f>
        <v>87</v>
      </c>
      <c r="G98" s="113">
        <f>G97</f>
        <v>87</v>
      </c>
      <c r="H98" s="113">
        <f>H97</f>
        <v>86</v>
      </c>
      <c r="I98" s="113">
        <f>I97</f>
        <v>85</v>
      </c>
      <c r="J98" s="113">
        <f>J97</f>
        <v>260</v>
      </c>
      <c r="K98" s="113" t="str">
        <f>K97</f>
        <v>Hạng 1</v>
      </c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4" customHeight="1">
      <c r="A99" s="79"/>
      <c r="B99" s="117" t="s">
        <v>652</v>
      </c>
      <c r="C99" s="118" t="s">
        <v>62</v>
      </c>
      <c r="D99" s="119">
        <v>2003</v>
      </c>
      <c r="E99" s="79"/>
      <c r="F99" s="79">
        <f>F98</f>
        <v>87</v>
      </c>
      <c r="G99" s="79">
        <f>G98</f>
        <v>87</v>
      </c>
      <c r="H99" s="79">
        <f>H98</f>
        <v>86</v>
      </c>
      <c r="I99" s="79">
        <f>I98</f>
        <v>85</v>
      </c>
      <c r="J99" s="79">
        <f>J98</f>
        <v>260</v>
      </c>
      <c r="K99" s="79" t="str">
        <f>K98</f>
        <v>Hạng 1</v>
      </c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4" customHeight="1">
      <c r="A100" s="76">
        <v>1</v>
      </c>
      <c r="B100" s="117" t="s">
        <v>636</v>
      </c>
      <c r="C100" s="120" t="s">
        <v>44</v>
      </c>
      <c r="D100" s="119">
        <v>2006</v>
      </c>
      <c r="E100" s="76">
        <v>86</v>
      </c>
      <c r="F100" s="76">
        <v>86</v>
      </c>
      <c r="G100" s="76">
        <v>85</v>
      </c>
      <c r="H100" s="76">
        <v>85</v>
      </c>
      <c r="I100" s="76">
        <v>86</v>
      </c>
      <c r="J100" s="76">
        <v>257</v>
      </c>
      <c r="K100" s="76" t="s">
        <v>466</v>
      </c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4" customHeight="1">
      <c r="A101" s="113">
        <f>A100</f>
        <v>1</v>
      </c>
      <c r="B101" s="117" t="s">
        <v>598</v>
      </c>
      <c r="C101" s="120" t="s">
        <v>44</v>
      </c>
      <c r="D101" s="119">
        <v>2006</v>
      </c>
      <c r="E101" s="113">
        <f>E100</f>
        <v>86</v>
      </c>
      <c r="F101" s="113">
        <f>F100</f>
        <v>86</v>
      </c>
      <c r="G101" s="113">
        <f>G100</f>
        <v>85</v>
      </c>
      <c r="H101" s="113">
        <f>H100</f>
        <v>85</v>
      </c>
      <c r="I101" s="113">
        <f>I100</f>
        <v>86</v>
      </c>
      <c r="J101" s="113">
        <f>J100</f>
        <v>257</v>
      </c>
      <c r="K101" s="113" t="str">
        <f>K100</f>
        <v>Hạng 2</v>
      </c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4" customHeight="1">
      <c r="A102" s="113">
        <f>A101</f>
        <v>1</v>
      </c>
      <c r="B102" s="117" t="s">
        <v>640</v>
      </c>
      <c r="C102" s="120" t="s">
        <v>44</v>
      </c>
      <c r="D102" s="119">
        <v>2006</v>
      </c>
      <c r="E102" s="113">
        <f>E101</f>
        <v>86</v>
      </c>
      <c r="F102" s="113">
        <f>F101</f>
        <v>86</v>
      </c>
      <c r="G102" s="113">
        <f>G101</f>
        <v>85</v>
      </c>
      <c r="H102" s="113">
        <f>H101</f>
        <v>85</v>
      </c>
      <c r="I102" s="113">
        <f>I101</f>
        <v>86</v>
      </c>
      <c r="J102" s="113">
        <f>J101</f>
        <v>257</v>
      </c>
      <c r="K102" s="113" t="str">
        <f>K101</f>
        <v>Hạng 2</v>
      </c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4" customHeight="1">
      <c r="A103" s="79">
        <f>A102</f>
        <v>1</v>
      </c>
      <c r="B103" s="117" t="s">
        <v>599</v>
      </c>
      <c r="C103" s="120" t="s">
        <v>44</v>
      </c>
      <c r="D103" s="119">
        <v>2006</v>
      </c>
      <c r="E103" s="79">
        <f>E102</f>
        <v>86</v>
      </c>
      <c r="F103" s="79">
        <f>F102</f>
        <v>86</v>
      </c>
      <c r="G103" s="79">
        <f>G102</f>
        <v>85</v>
      </c>
      <c r="H103" s="79">
        <f>H102</f>
        <v>85</v>
      </c>
      <c r="I103" s="79">
        <f>I102</f>
        <v>86</v>
      </c>
      <c r="J103" s="79">
        <f>J102</f>
        <v>257</v>
      </c>
      <c r="K103" s="79" t="str">
        <f>K102</f>
        <v>Hạng 2</v>
      </c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4" customHeight="1">
      <c r="A104" s="76">
        <v>2</v>
      </c>
      <c r="B104" s="117" t="s">
        <v>588</v>
      </c>
      <c r="C104" s="118" t="s">
        <v>17</v>
      </c>
      <c r="D104" s="119">
        <v>2008</v>
      </c>
      <c r="E104" s="76">
        <v>85</v>
      </c>
      <c r="F104" s="76">
        <v>84</v>
      </c>
      <c r="G104" s="76">
        <v>84</v>
      </c>
      <c r="H104" s="76">
        <v>83</v>
      </c>
      <c r="I104" s="76">
        <v>83</v>
      </c>
      <c r="J104" s="76">
        <v>252</v>
      </c>
      <c r="K104" s="76" t="s">
        <v>460</v>
      </c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4" customHeight="1">
      <c r="A105" s="113">
        <f>A104</f>
        <v>2</v>
      </c>
      <c r="B105" s="117" t="s">
        <v>649</v>
      </c>
      <c r="C105" s="118" t="s">
        <v>17</v>
      </c>
      <c r="D105" s="119">
        <v>2008</v>
      </c>
      <c r="E105" s="113">
        <f>E104</f>
        <v>85</v>
      </c>
      <c r="F105" s="113">
        <f>F104</f>
        <v>84</v>
      </c>
      <c r="G105" s="113">
        <f>G104</f>
        <v>84</v>
      </c>
      <c r="H105" s="113">
        <f>H104</f>
        <v>83</v>
      </c>
      <c r="I105" s="113">
        <f>I104</f>
        <v>83</v>
      </c>
      <c r="J105" s="113">
        <f>J104</f>
        <v>252</v>
      </c>
      <c r="K105" s="113" t="str">
        <f>K104</f>
        <v>Hạng 3</v>
      </c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4" customHeight="1">
      <c r="A106" s="113">
        <f>A105</f>
        <v>2</v>
      </c>
      <c r="B106" s="117" t="s">
        <v>608</v>
      </c>
      <c r="C106" s="118" t="s">
        <v>17</v>
      </c>
      <c r="D106" s="119">
        <v>2007</v>
      </c>
      <c r="E106" s="113">
        <f>E105</f>
        <v>85</v>
      </c>
      <c r="F106" s="113">
        <f>F105</f>
        <v>84</v>
      </c>
      <c r="G106" s="113">
        <f>G105</f>
        <v>84</v>
      </c>
      <c r="H106" s="113">
        <f>H105</f>
        <v>83</v>
      </c>
      <c r="I106" s="113">
        <f>I105</f>
        <v>83</v>
      </c>
      <c r="J106" s="113">
        <f>J105</f>
        <v>252</v>
      </c>
      <c r="K106" s="113" t="str">
        <f>K105</f>
        <v>Hạng 3</v>
      </c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4" customHeight="1">
      <c r="A107" s="79">
        <f>A106</f>
        <v>2</v>
      </c>
      <c r="B107" s="117" t="s">
        <v>609</v>
      </c>
      <c r="C107" s="118" t="s">
        <v>17</v>
      </c>
      <c r="D107" s="119">
        <v>2007</v>
      </c>
      <c r="E107" s="79">
        <f>E106</f>
        <v>85</v>
      </c>
      <c r="F107" s="79">
        <f>F106</f>
        <v>84</v>
      </c>
      <c r="G107" s="79">
        <f>G106</f>
        <v>84</v>
      </c>
      <c r="H107" s="79">
        <f>H106</f>
        <v>83</v>
      </c>
      <c r="I107" s="79">
        <f>I106</f>
        <v>83</v>
      </c>
      <c r="J107" s="79">
        <f>J106</f>
        <v>252</v>
      </c>
      <c r="K107" s="79" t="str">
        <f>K106</f>
        <v>Hạng 3</v>
      </c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4" customHeight="1">
      <c r="A108" s="76">
        <v>3</v>
      </c>
      <c r="B108" s="117" t="s">
        <v>650</v>
      </c>
      <c r="C108" s="118" t="s">
        <v>40</v>
      </c>
      <c r="D108" s="119">
        <v>2005</v>
      </c>
      <c r="E108" s="76">
        <v>83</v>
      </c>
      <c r="F108" s="76">
        <v>85</v>
      </c>
      <c r="G108" s="76">
        <v>84</v>
      </c>
      <c r="H108" s="76">
        <v>83</v>
      </c>
      <c r="I108" s="76">
        <v>83</v>
      </c>
      <c r="J108" s="76">
        <v>250</v>
      </c>
      <c r="K108" s="76" t="s">
        <v>460</v>
      </c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4" customHeight="1">
      <c r="A109" s="113">
        <f>A108</f>
        <v>3</v>
      </c>
      <c r="B109" s="117" t="s">
        <v>642</v>
      </c>
      <c r="C109" s="118" t="s">
        <v>40</v>
      </c>
      <c r="D109" s="119">
        <v>2008</v>
      </c>
      <c r="E109" s="113">
        <f>E108</f>
        <v>83</v>
      </c>
      <c r="F109" s="113">
        <f>F108</f>
        <v>85</v>
      </c>
      <c r="G109" s="113">
        <f>G108</f>
        <v>84</v>
      </c>
      <c r="H109" s="113">
        <f>H108</f>
        <v>83</v>
      </c>
      <c r="I109" s="113">
        <f>I108</f>
        <v>83</v>
      </c>
      <c r="J109" s="113">
        <f>J108</f>
        <v>250</v>
      </c>
      <c r="K109" s="113" t="str">
        <f>K108</f>
        <v>Hạng 3</v>
      </c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4" customHeight="1">
      <c r="A110" s="113">
        <f>A109</f>
        <v>3</v>
      </c>
      <c r="B110" s="117" t="s">
        <v>621</v>
      </c>
      <c r="C110" s="118" t="s">
        <v>40</v>
      </c>
      <c r="D110" s="119">
        <v>2007</v>
      </c>
      <c r="E110" s="113">
        <f>E109</f>
        <v>83</v>
      </c>
      <c r="F110" s="113">
        <f>F109</f>
        <v>85</v>
      </c>
      <c r="G110" s="113">
        <f>G109</f>
        <v>84</v>
      </c>
      <c r="H110" s="113">
        <f>H109</f>
        <v>83</v>
      </c>
      <c r="I110" s="113">
        <f>I109</f>
        <v>83</v>
      </c>
      <c r="J110" s="113">
        <f>J109</f>
        <v>250</v>
      </c>
      <c r="K110" s="113" t="str">
        <f>K109</f>
        <v>Hạng 3</v>
      </c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4" customHeight="1">
      <c r="A111" s="79">
        <f>A110</f>
        <v>3</v>
      </c>
      <c r="B111" s="117" t="s">
        <v>651</v>
      </c>
      <c r="C111" s="118" t="s">
        <v>40</v>
      </c>
      <c r="D111" s="119">
        <v>2008</v>
      </c>
      <c r="E111" s="79">
        <f>E110</f>
        <v>83</v>
      </c>
      <c r="F111" s="79">
        <f>F110</f>
        <v>85</v>
      </c>
      <c r="G111" s="79">
        <f>G110</f>
        <v>84</v>
      </c>
      <c r="H111" s="79">
        <f>H110</f>
        <v>83</v>
      </c>
      <c r="I111" s="79">
        <f>I110</f>
        <v>83</v>
      </c>
      <c r="J111" s="79">
        <f>J110</f>
        <v>250</v>
      </c>
      <c r="K111" s="79" t="str">
        <f>K110</f>
        <v>Hạng 3</v>
      </c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4" customHeight="1">
      <c r="A112" s="76">
        <v>5</v>
      </c>
      <c r="B112" s="117" t="s">
        <v>629</v>
      </c>
      <c r="C112" s="118" t="s">
        <v>70</v>
      </c>
      <c r="D112" s="119">
        <v>2008</v>
      </c>
      <c r="E112" s="76">
        <v>80</v>
      </c>
      <c r="F112" s="76">
        <v>80</v>
      </c>
      <c r="G112" s="76">
        <v>80</v>
      </c>
      <c r="H112" s="76">
        <v>80</v>
      </c>
      <c r="I112" s="76">
        <v>80</v>
      </c>
      <c r="J112" s="76">
        <f>80+80+80</f>
        <v>240</v>
      </c>
      <c r="K112" s="76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4" customHeight="1">
      <c r="A113" s="113">
        <f>A112</f>
        <v>5</v>
      </c>
      <c r="B113" s="117" t="s">
        <v>630</v>
      </c>
      <c r="C113" s="118" t="s">
        <v>70</v>
      </c>
      <c r="D113" s="119">
        <v>2001</v>
      </c>
      <c r="E113" s="113">
        <f>E112</f>
        <v>80</v>
      </c>
      <c r="F113" s="113">
        <f>F112</f>
        <v>80</v>
      </c>
      <c r="G113" s="113">
        <f>G112</f>
        <v>80</v>
      </c>
      <c r="H113" s="113">
        <f>H112</f>
        <v>80</v>
      </c>
      <c r="I113" s="113">
        <f>I112</f>
        <v>80</v>
      </c>
      <c r="J113" s="113">
        <f>J112</f>
        <v>240</v>
      </c>
      <c r="K113" s="113">
        <f>K112</f>
        <v>0</v>
      </c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4" customHeight="1">
      <c r="A114" s="113">
        <f>A113</f>
        <v>5</v>
      </c>
      <c r="B114" s="117" t="s">
        <v>631</v>
      </c>
      <c r="C114" s="118" t="s">
        <v>70</v>
      </c>
      <c r="D114" s="119">
        <v>2008</v>
      </c>
      <c r="E114" s="113">
        <f>E113</f>
        <v>80</v>
      </c>
      <c r="F114" s="113">
        <f>F113</f>
        <v>80</v>
      </c>
      <c r="G114" s="113">
        <f>G113</f>
        <v>80</v>
      </c>
      <c r="H114" s="113">
        <f>H113</f>
        <v>80</v>
      </c>
      <c r="I114" s="113">
        <f>I113</f>
        <v>80</v>
      </c>
      <c r="J114" s="113">
        <f>J113</f>
        <v>240</v>
      </c>
      <c r="K114" s="113">
        <f>K113</f>
        <v>0</v>
      </c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4" customHeight="1">
      <c r="A115" s="79">
        <f>A114</f>
        <v>5</v>
      </c>
      <c r="B115" s="117" t="s">
        <v>632</v>
      </c>
      <c r="C115" s="118" t="s">
        <v>70</v>
      </c>
      <c r="D115" s="119">
        <v>1996</v>
      </c>
      <c r="E115" s="79">
        <f>E114</f>
        <v>80</v>
      </c>
      <c r="F115" s="79">
        <f>F114</f>
        <v>80</v>
      </c>
      <c r="G115" s="79">
        <f>G114</f>
        <v>80</v>
      </c>
      <c r="H115" s="79">
        <f>H114</f>
        <v>80</v>
      </c>
      <c r="I115" s="79">
        <f>I114</f>
        <v>80</v>
      </c>
      <c r="J115" s="79">
        <f>J114</f>
        <v>240</v>
      </c>
      <c r="K115" s="79">
        <f>K114</f>
        <v>0</v>
      </c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45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45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>
      <c r="A118" s="114" t="s">
        <v>653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89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45">
      <c r="A119" s="115" t="s">
        <v>453</v>
      </c>
      <c r="B119" s="115" t="s">
        <v>454</v>
      </c>
      <c r="C119" s="115" t="s">
        <v>9</v>
      </c>
      <c r="D119" s="116" t="s">
        <v>455</v>
      </c>
      <c r="E119" s="90" t="s">
        <v>456</v>
      </c>
      <c r="F119" s="91"/>
      <c r="G119" s="91"/>
      <c r="H119" s="91"/>
      <c r="I119" s="92"/>
      <c r="J119" s="116" t="s">
        <v>457</v>
      </c>
      <c r="K119" s="116" t="s">
        <v>458</v>
      </c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>
      <c r="A120" s="93"/>
      <c r="B120" s="93"/>
      <c r="C120" s="93"/>
      <c r="D120" s="93"/>
      <c r="E120" s="7">
        <v>1</v>
      </c>
      <c r="F120" s="7">
        <v>2</v>
      </c>
      <c r="G120" s="7">
        <v>3</v>
      </c>
      <c r="H120" s="7">
        <v>4</v>
      </c>
      <c r="I120" s="7">
        <v>5</v>
      </c>
      <c r="J120" s="93"/>
      <c r="K120" s="93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>
      <c r="A121" s="94"/>
      <c r="B121" s="94"/>
      <c r="C121" s="94"/>
      <c r="D121" s="94"/>
      <c r="E121" s="7" t="s">
        <v>611</v>
      </c>
      <c r="F121" s="7" t="s">
        <v>613</v>
      </c>
      <c r="G121" s="7" t="s">
        <v>625</v>
      </c>
      <c r="H121" s="7" t="s">
        <v>648</v>
      </c>
      <c r="I121" s="7" t="s">
        <v>654</v>
      </c>
      <c r="J121" s="94"/>
      <c r="K121" s="94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>
      <c r="A122" s="27">
        <v>6</v>
      </c>
      <c r="B122" s="117" t="s">
        <v>660</v>
      </c>
      <c r="C122" s="118" t="s">
        <v>40</v>
      </c>
      <c r="D122" s="119">
        <v>2007</v>
      </c>
      <c r="E122" s="27">
        <v>86</v>
      </c>
      <c r="F122" s="27">
        <v>86</v>
      </c>
      <c r="G122" s="27">
        <v>83</v>
      </c>
      <c r="H122" s="27">
        <v>87</v>
      </c>
      <c r="I122" s="27">
        <v>86</v>
      </c>
      <c r="J122" s="27">
        <v>258</v>
      </c>
      <c r="K122" s="123" t="s">
        <v>462</v>
      </c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>
      <c r="A123" s="27">
        <v>10</v>
      </c>
      <c r="B123" s="117" t="s">
        <v>664</v>
      </c>
      <c r="C123" s="120" t="s">
        <v>62</v>
      </c>
      <c r="D123" s="119">
        <v>2008</v>
      </c>
      <c r="E123" s="27">
        <v>85</v>
      </c>
      <c r="F123" s="27">
        <v>86</v>
      </c>
      <c r="G123" s="27">
        <v>86</v>
      </c>
      <c r="H123" s="27">
        <v>86</v>
      </c>
      <c r="I123" s="27">
        <v>86</v>
      </c>
      <c r="J123" s="27">
        <v>258</v>
      </c>
      <c r="K123" s="124" t="s">
        <v>466</v>
      </c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>
      <c r="A124" s="27">
        <v>4</v>
      </c>
      <c r="B124" s="117" t="s">
        <v>658</v>
      </c>
      <c r="C124" s="142" t="s">
        <v>17</v>
      </c>
      <c r="D124" s="119">
        <v>2007</v>
      </c>
      <c r="E124" s="27">
        <v>85</v>
      </c>
      <c r="F124" s="27">
        <v>86</v>
      </c>
      <c r="G124" s="27">
        <v>86</v>
      </c>
      <c r="H124" s="27">
        <v>85</v>
      </c>
      <c r="I124" s="27">
        <v>86</v>
      </c>
      <c r="J124" s="27">
        <v>257</v>
      </c>
      <c r="K124" s="122" t="s">
        <v>460</v>
      </c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>
      <c r="A125" s="27">
        <v>7</v>
      </c>
      <c r="B125" s="117" t="s">
        <v>661</v>
      </c>
      <c r="C125" s="118" t="s">
        <v>51</v>
      </c>
      <c r="D125" s="119">
        <v>2008</v>
      </c>
      <c r="E125" s="27">
        <v>85</v>
      </c>
      <c r="F125" s="27">
        <v>86</v>
      </c>
      <c r="G125" s="27">
        <v>86</v>
      </c>
      <c r="H125" s="27">
        <v>86</v>
      </c>
      <c r="I125" s="27">
        <v>85</v>
      </c>
      <c r="J125" s="27">
        <v>257</v>
      </c>
      <c r="K125" s="122" t="s">
        <v>460</v>
      </c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>
      <c r="A126" s="27">
        <v>1</v>
      </c>
      <c r="B126" s="117" t="s">
        <v>655</v>
      </c>
      <c r="C126" s="120" t="s">
        <v>326</v>
      </c>
      <c r="D126" s="119">
        <v>2006</v>
      </c>
      <c r="E126" s="27">
        <v>85</v>
      </c>
      <c r="F126" s="27">
        <v>85</v>
      </c>
      <c r="G126" s="27">
        <v>86</v>
      </c>
      <c r="H126" s="27">
        <v>85</v>
      </c>
      <c r="I126" s="27">
        <v>85</v>
      </c>
      <c r="J126" s="27">
        <v>255</v>
      </c>
      <c r="K126" s="95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>
      <c r="A127" s="27">
        <v>5</v>
      </c>
      <c r="B127" s="117" t="s">
        <v>659</v>
      </c>
      <c r="C127" s="118" t="s">
        <v>13</v>
      </c>
      <c r="D127" s="119">
        <v>2008</v>
      </c>
      <c r="E127" s="27">
        <v>84</v>
      </c>
      <c r="F127" s="27">
        <v>85</v>
      </c>
      <c r="G127" s="27">
        <v>84</v>
      </c>
      <c r="H127" s="27">
        <v>85</v>
      </c>
      <c r="I127" s="27">
        <v>85</v>
      </c>
      <c r="J127" s="27">
        <v>254</v>
      </c>
      <c r="K127" s="95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>
      <c r="A128" s="27">
        <v>8</v>
      </c>
      <c r="B128" s="129" t="s">
        <v>662</v>
      </c>
      <c r="C128" s="120" t="s">
        <v>70</v>
      </c>
      <c r="D128" s="121">
        <v>2007</v>
      </c>
      <c r="E128" s="27">
        <v>84</v>
      </c>
      <c r="F128" s="27">
        <v>85</v>
      </c>
      <c r="G128" s="27">
        <v>84</v>
      </c>
      <c r="H128" s="27">
        <v>85</v>
      </c>
      <c r="I128" s="27">
        <v>85</v>
      </c>
      <c r="J128" s="27">
        <v>254</v>
      </c>
      <c r="K128" s="95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>
      <c r="A129" s="150">
        <v>11</v>
      </c>
      <c r="B129" s="129" t="s">
        <v>665</v>
      </c>
      <c r="C129" s="151" t="s">
        <v>666</v>
      </c>
      <c r="D129" s="121">
        <v>2003</v>
      </c>
      <c r="E129" s="136">
        <v>84</v>
      </c>
      <c r="F129" s="136">
        <v>85</v>
      </c>
      <c r="G129" s="136">
        <v>84</v>
      </c>
      <c r="H129" s="136">
        <v>85</v>
      </c>
      <c r="I129" s="136">
        <v>85</v>
      </c>
      <c r="J129" s="136">
        <v>254</v>
      </c>
      <c r="K129" s="137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>
      <c r="A130" s="75">
        <v>2</v>
      </c>
      <c r="B130" s="117" t="s">
        <v>656</v>
      </c>
      <c r="C130" s="119" t="s">
        <v>90</v>
      </c>
      <c r="D130" s="119">
        <v>2008</v>
      </c>
      <c r="E130" s="27">
        <v>83</v>
      </c>
      <c r="F130" s="27">
        <v>85</v>
      </c>
      <c r="G130" s="27">
        <v>85</v>
      </c>
      <c r="H130" s="27">
        <v>84</v>
      </c>
      <c r="I130" s="27">
        <v>84</v>
      </c>
      <c r="J130" s="27">
        <v>253</v>
      </c>
      <c r="K130" s="95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>
      <c r="A131" s="27">
        <v>3</v>
      </c>
      <c r="B131" s="117" t="s">
        <v>657</v>
      </c>
      <c r="C131" s="141" t="s">
        <v>27</v>
      </c>
      <c r="D131" s="119">
        <v>2008</v>
      </c>
      <c r="E131" s="27">
        <v>84</v>
      </c>
      <c r="F131" s="110">
        <v>84</v>
      </c>
      <c r="G131" s="110">
        <v>85</v>
      </c>
      <c r="H131" s="110">
        <v>85</v>
      </c>
      <c r="I131" s="110">
        <v>83</v>
      </c>
      <c r="J131" s="110">
        <v>253</v>
      </c>
      <c r="K131" s="95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>
      <c r="A132" s="27">
        <v>12</v>
      </c>
      <c r="B132" s="117" t="s">
        <v>667</v>
      </c>
      <c r="C132" s="120" t="s">
        <v>76</v>
      </c>
      <c r="D132" s="119">
        <v>2008</v>
      </c>
      <c r="E132" s="138">
        <v>83</v>
      </c>
      <c r="F132" s="112">
        <v>82</v>
      </c>
      <c r="G132" s="112">
        <v>82</v>
      </c>
      <c r="H132" s="112">
        <v>83</v>
      </c>
      <c r="I132" s="112">
        <v>82</v>
      </c>
      <c r="J132" s="112">
        <v>247</v>
      </c>
      <c r="K132" s="95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>
      <c r="A133" s="27">
        <v>9</v>
      </c>
      <c r="B133" s="117" t="s">
        <v>663</v>
      </c>
      <c r="C133" s="120" t="s">
        <v>168</v>
      </c>
      <c r="D133" s="119">
        <v>2003</v>
      </c>
      <c r="E133" s="138">
        <v>83</v>
      </c>
      <c r="F133" s="112">
        <v>80</v>
      </c>
      <c r="G133" s="112">
        <v>80</v>
      </c>
      <c r="H133" s="112">
        <v>83</v>
      </c>
      <c r="I133" s="112">
        <v>81</v>
      </c>
      <c r="J133" s="112">
        <v>244</v>
      </c>
      <c r="K133" s="95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45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>
      <c r="A135" s="114" t="s">
        <v>668</v>
      </c>
      <c r="B135" s="88"/>
      <c r="C135" s="88"/>
      <c r="D135" s="88"/>
      <c r="E135" s="88"/>
      <c r="F135" s="88"/>
      <c r="G135" s="88"/>
      <c r="H135" s="88"/>
      <c r="I135" s="88"/>
      <c r="J135" s="88"/>
      <c r="K135" s="89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45">
      <c r="A136" s="115" t="s">
        <v>453</v>
      </c>
      <c r="B136" s="115" t="s">
        <v>454</v>
      </c>
      <c r="C136" s="115" t="s">
        <v>9</v>
      </c>
      <c r="D136" s="116" t="s">
        <v>455</v>
      </c>
      <c r="E136" s="90" t="s">
        <v>456</v>
      </c>
      <c r="F136" s="91"/>
      <c r="G136" s="91"/>
      <c r="H136" s="91"/>
      <c r="I136" s="92"/>
      <c r="J136" s="116" t="s">
        <v>457</v>
      </c>
      <c r="K136" s="116" t="s">
        <v>458</v>
      </c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>
      <c r="A137" s="93"/>
      <c r="B137" s="93"/>
      <c r="C137" s="93"/>
      <c r="D137" s="93"/>
      <c r="E137" s="7">
        <v>1</v>
      </c>
      <c r="F137" s="7">
        <v>2</v>
      </c>
      <c r="G137" s="7">
        <v>3</v>
      </c>
      <c r="H137" s="7">
        <v>4</v>
      </c>
      <c r="I137" s="7">
        <v>5</v>
      </c>
      <c r="J137" s="93"/>
      <c r="K137" s="93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45">
      <c r="A138" s="94"/>
      <c r="B138" s="94"/>
      <c r="C138" s="94"/>
      <c r="D138" s="94"/>
      <c r="E138" s="95"/>
      <c r="F138" s="95"/>
      <c r="G138" s="95"/>
      <c r="H138" s="95"/>
      <c r="I138" s="95"/>
      <c r="J138" s="94"/>
      <c r="K138" s="94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4" customHeight="1">
      <c r="A139" s="76">
        <v>1</v>
      </c>
      <c r="B139" s="117" t="s">
        <v>661</v>
      </c>
      <c r="C139" s="118" t="s">
        <v>51</v>
      </c>
      <c r="D139" s="119">
        <v>2008</v>
      </c>
      <c r="E139" s="76">
        <v>86</v>
      </c>
      <c r="F139" s="76">
        <v>83</v>
      </c>
      <c r="G139" s="76">
        <v>85</v>
      </c>
      <c r="H139" s="76">
        <v>85</v>
      </c>
      <c r="I139" s="76">
        <v>85</v>
      </c>
      <c r="J139" s="76">
        <v>255</v>
      </c>
      <c r="K139" s="76" t="s">
        <v>462</v>
      </c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45" customHeight="1">
      <c r="A140" s="113"/>
      <c r="B140" s="117" t="s">
        <v>669</v>
      </c>
      <c r="C140" s="118" t="s">
        <v>51</v>
      </c>
      <c r="D140" s="119">
        <v>2008</v>
      </c>
      <c r="E140" s="113"/>
      <c r="F140" s="113">
        <f>F139</f>
        <v>83</v>
      </c>
      <c r="G140" s="113">
        <f>G139</f>
        <v>85</v>
      </c>
      <c r="H140" s="113">
        <f>H139</f>
        <v>85</v>
      </c>
      <c r="I140" s="113">
        <f>I139</f>
        <v>85</v>
      </c>
      <c r="J140" s="113">
        <f>J139</f>
        <v>255</v>
      </c>
      <c r="K140" s="113" t="str">
        <f>K139</f>
        <v>Hạng 1</v>
      </c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45" customHeight="1">
      <c r="A141" s="79"/>
      <c r="B141" s="117" t="s">
        <v>670</v>
      </c>
      <c r="C141" s="118" t="s">
        <v>51</v>
      </c>
      <c r="D141" s="119">
        <v>2006</v>
      </c>
      <c r="E141" s="79"/>
      <c r="F141" s="79">
        <f>F140</f>
        <v>83</v>
      </c>
      <c r="G141" s="79">
        <f>G140</f>
        <v>85</v>
      </c>
      <c r="H141" s="79">
        <f>H140</f>
        <v>85</v>
      </c>
      <c r="I141" s="79">
        <f>I140</f>
        <v>85</v>
      </c>
      <c r="J141" s="79">
        <f>J140</f>
        <v>255</v>
      </c>
      <c r="K141" s="79" t="str">
        <f>K140</f>
        <v>Hạng 1</v>
      </c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4" customHeight="1">
      <c r="A142" s="76">
        <v>2</v>
      </c>
      <c r="B142" s="117" t="s">
        <v>671</v>
      </c>
      <c r="C142" s="120" t="s">
        <v>17</v>
      </c>
      <c r="D142" s="119">
        <v>2007</v>
      </c>
      <c r="E142" s="76">
        <v>85</v>
      </c>
      <c r="F142" s="76">
        <v>85</v>
      </c>
      <c r="G142" s="76">
        <v>85</v>
      </c>
      <c r="H142" s="76">
        <v>86</v>
      </c>
      <c r="I142" s="76">
        <v>84</v>
      </c>
      <c r="J142" s="76">
        <v>255</v>
      </c>
      <c r="K142" s="76" t="s">
        <v>466</v>
      </c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4" customHeight="1">
      <c r="A143" s="113">
        <f>A142</f>
        <v>2</v>
      </c>
      <c r="B143" s="117" t="s">
        <v>658</v>
      </c>
      <c r="C143" s="120" t="s">
        <v>17</v>
      </c>
      <c r="D143" s="119">
        <v>2007</v>
      </c>
      <c r="E143" s="113">
        <f>E142</f>
        <v>85</v>
      </c>
      <c r="F143" s="113">
        <f>F142</f>
        <v>85</v>
      </c>
      <c r="G143" s="113">
        <f>G142</f>
        <v>85</v>
      </c>
      <c r="H143" s="113">
        <f>H142</f>
        <v>86</v>
      </c>
      <c r="I143" s="113">
        <f>I142</f>
        <v>84</v>
      </c>
      <c r="J143" s="113">
        <f>J142</f>
        <v>255</v>
      </c>
      <c r="K143" s="113" t="str">
        <f>K142</f>
        <v>Hạng 2</v>
      </c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4" customHeight="1">
      <c r="A144" s="79">
        <f>A143</f>
        <v>2</v>
      </c>
      <c r="B144" s="117" t="s">
        <v>672</v>
      </c>
      <c r="C144" s="120" t="s">
        <v>17</v>
      </c>
      <c r="D144" s="119">
        <v>2007</v>
      </c>
      <c r="E144" s="79">
        <f>E143</f>
        <v>85</v>
      </c>
      <c r="F144" s="79">
        <f>F143</f>
        <v>85</v>
      </c>
      <c r="G144" s="79">
        <f>G143</f>
        <v>85</v>
      </c>
      <c r="H144" s="79">
        <f>H143</f>
        <v>86</v>
      </c>
      <c r="I144" s="79">
        <f>I143</f>
        <v>84</v>
      </c>
      <c r="J144" s="79">
        <f>J143</f>
        <v>255</v>
      </c>
      <c r="K144" s="79" t="str">
        <f>K143</f>
        <v>Hạng 2</v>
      </c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4" customHeight="1">
      <c r="A145" s="76">
        <v>6</v>
      </c>
      <c r="B145" s="117" t="s">
        <v>680</v>
      </c>
      <c r="C145" s="120" t="s">
        <v>62</v>
      </c>
      <c r="D145" s="119">
        <v>2006</v>
      </c>
      <c r="E145" s="76">
        <v>84</v>
      </c>
      <c r="F145" s="76">
        <v>85</v>
      </c>
      <c r="G145" s="76">
        <v>85</v>
      </c>
      <c r="H145" s="76">
        <v>86</v>
      </c>
      <c r="I145" s="76">
        <v>85</v>
      </c>
      <c r="J145" s="76">
        <v>255</v>
      </c>
      <c r="K145" s="76" t="s">
        <v>460</v>
      </c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4" customHeight="1">
      <c r="A146" s="113">
        <f>A145</f>
        <v>6</v>
      </c>
      <c r="B146" s="117" t="s">
        <v>681</v>
      </c>
      <c r="C146" s="120" t="s">
        <v>62</v>
      </c>
      <c r="D146" s="119">
        <v>2008</v>
      </c>
      <c r="E146" s="113">
        <f>E145</f>
        <v>84</v>
      </c>
      <c r="F146" s="113">
        <f>F145</f>
        <v>85</v>
      </c>
      <c r="G146" s="113">
        <f>G145</f>
        <v>85</v>
      </c>
      <c r="H146" s="113">
        <f>H145</f>
        <v>86</v>
      </c>
      <c r="I146" s="113">
        <f>I145</f>
        <v>85</v>
      </c>
      <c r="J146" s="113">
        <f>J145</f>
        <v>255</v>
      </c>
      <c r="K146" s="113" t="str">
        <f>K145</f>
        <v>Hạng 3</v>
      </c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4" customHeight="1">
      <c r="A147" s="79">
        <f>A146</f>
        <v>6</v>
      </c>
      <c r="B147" s="117" t="s">
        <v>664</v>
      </c>
      <c r="C147" s="120" t="s">
        <v>62</v>
      </c>
      <c r="D147" s="119">
        <v>2008</v>
      </c>
      <c r="E147" s="79">
        <f>E146</f>
        <v>84</v>
      </c>
      <c r="F147" s="79">
        <f>F146</f>
        <v>85</v>
      </c>
      <c r="G147" s="79">
        <f>G146</f>
        <v>85</v>
      </c>
      <c r="H147" s="79">
        <f>H146</f>
        <v>86</v>
      </c>
      <c r="I147" s="79">
        <f>I146</f>
        <v>85</v>
      </c>
      <c r="J147" s="79">
        <f>J146</f>
        <v>255</v>
      </c>
      <c r="K147" s="79" t="str">
        <f>K146</f>
        <v>Hạng 3</v>
      </c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4" customHeight="1">
      <c r="A148" s="76">
        <v>3</v>
      </c>
      <c r="B148" s="117" t="s">
        <v>659</v>
      </c>
      <c r="C148" s="120" t="s">
        <v>13</v>
      </c>
      <c r="D148" s="119">
        <v>2008</v>
      </c>
      <c r="E148" s="76">
        <v>84</v>
      </c>
      <c r="F148" s="76">
        <v>84</v>
      </c>
      <c r="G148" s="76">
        <v>85</v>
      </c>
      <c r="H148" s="76">
        <v>84</v>
      </c>
      <c r="I148" s="76">
        <v>85</v>
      </c>
      <c r="J148" s="76">
        <v>253</v>
      </c>
      <c r="K148" s="76" t="s">
        <v>460</v>
      </c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4" customHeight="1">
      <c r="A149" s="113">
        <f>A148</f>
        <v>3</v>
      </c>
      <c r="B149" s="117" t="s">
        <v>673</v>
      </c>
      <c r="C149" s="120" t="s">
        <v>13</v>
      </c>
      <c r="D149" s="119">
        <v>2004</v>
      </c>
      <c r="E149" s="113">
        <f>E148</f>
        <v>84</v>
      </c>
      <c r="F149" s="113">
        <f>F148</f>
        <v>84</v>
      </c>
      <c r="G149" s="113">
        <f>G148</f>
        <v>85</v>
      </c>
      <c r="H149" s="113">
        <f>H148</f>
        <v>84</v>
      </c>
      <c r="I149" s="113">
        <f>I148</f>
        <v>85</v>
      </c>
      <c r="J149" s="113">
        <f>J148</f>
        <v>253</v>
      </c>
      <c r="K149" s="113" t="str">
        <f>K148</f>
        <v>Hạng 3</v>
      </c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4" customHeight="1">
      <c r="A150" s="79">
        <f>A149</f>
        <v>3</v>
      </c>
      <c r="B150" s="129" t="s">
        <v>674</v>
      </c>
      <c r="C150" s="120" t="s">
        <v>13</v>
      </c>
      <c r="D150" s="121">
        <v>2007</v>
      </c>
      <c r="E150" s="79">
        <f>E149</f>
        <v>84</v>
      </c>
      <c r="F150" s="79">
        <f>F149</f>
        <v>84</v>
      </c>
      <c r="G150" s="79">
        <f>G149</f>
        <v>85</v>
      </c>
      <c r="H150" s="79">
        <f>H149</f>
        <v>84</v>
      </c>
      <c r="I150" s="79">
        <f>I149</f>
        <v>85</v>
      </c>
      <c r="J150" s="79">
        <f>J149</f>
        <v>253</v>
      </c>
      <c r="K150" s="79" t="str">
        <f>K149</f>
        <v>Hạng 3</v>
      </c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4" customHeight="1">
      <c r="A151" s="76">
        <v>5</v>
      </c>
      <c r="B151" s="129" t="s">
        <v>678</v>
      </c>
      <c r="C151" s="120" t="s">
        <v>326</v>
      </c>
      <c r="D151" s="121">
        <v>2008</v>
      </c>
      <c r="E151" s="76">
        <v>83</v>
      </c>
      <c r="F151" s="76">
        <v>84</v>
      </c>
      <c r="G151" s="76">
        <v>84</v>
      </c>
      <c r="H151" s="76">
        <v>85</v>
      </c>
      <c r="I151" s="76">
        <v>84</v>
      </c>
      <c r="J151" s="76">
        <v>252</v>
      </c>
      <c r="K151" s="76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4" customHeight="1">
      <c r="A152" s="113">
        <f>A151</f>
        <v>5</v>
      </c>
      <c r="B152" s="129" t="s">
        <v>679</v>
      </c>
      <c r="C152" s="120" t="s">
        <v>326</v>
      </c>
      <c r="D152" s="121">
        <v>2008</v>
      </c>
      <c r="E152" s="113">
        <f>E151</f>
        <v>83</v>
      </c>
      <c r="F152" s="113">
        <f>F151</f>
        <v>84</v>
      </c>
      <c r="G152" s="113">
        <f>G151</f>
        <v>84</v>
      </c>
      <c r="H152" s="113">
        <f>H151</f>
        <v>85</v>
      </c>
      <c r="I152" s="113">
        <f>I151</f>
        <v>84</v>
      </c>
      <c r="J152" s="113">
        <f>J151</f>
        <v>252</v>
      </c>
      <c r="K152" s="113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4" customHeight="1">
      <c r="A153" s="79">
        <f>A152</f>
        <v>5</v>
      </c>
      <c r="B153" s="129" t="s">
        <v>655</v>
      </c>
      <c r="C153" s="120" t="s">
        <v>326</v>
      </c>
      <c r="D153" s="121">
        <v>2006</v>
      </c>
      <c r="E153" s="79">
        <f>E152</f>
        <v>83</v>
      </c>
      <c r="F153" s="79">
        <f>F152</f>
        <v>84</v>
      </c>
      <c r="G153" s="79">
        <f>G152</f>
        <v>84</v>
      </c>
      <c r="H153" s="79">
        <f>H152</f>
        <v>85</v>
      </c>
      <c r="I153" s="79">
        <f>I152</f>
        <v>84</v>
      </c>
      <c r="J153" s="79">
        <f>J152</f>
        <v>252</v>
      </c>
      <c r="K153" s="79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4" customHeight="1">
      <c r="A154" s="76">
        <v>7</v>
      </c>
      <c r="B154" s="117" t="s">
        <v>682</v>
      </c>
      <c r="C154" s="118" t="s">
        <v>40</v>
      </c>
      <c r="D154" s="119">
        <v>2007</v>
      </c>
      <c r="E154" s="76">
        <v>83</v>
      </c>
      <c r="F154" s="76">
        <v>84</v>
      </c>
      <c r="G154" s="76">
        <v>84</v>
      </c>
      <c r="H154" s="76">
        <v>85</v>
      </c>
      <c r="I154" s="76">
        <v>84</v>
      </c>
      <c r="J154" s="76">
        <v>252</v>
      </c>
      <c r="K154" s="76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4" customHeight="1">
      <c r="A155" s="113">
        <f>A154</f>
        <v>7</v>
      </c>
      <c r="B155" s="117" t="s">
        <v>683</v>
      </c>
      <c r="C155" s="118" t="s">
        <v>40</v>
      </c>
      <c r="D155" s="119">
        <v>2007</v>
      </c>
      <c r="E155" s="113">
        <f>E154</f>
        <v>83</v>
      </c>
      <c r="F155" s="113">
        <f>F154</f>
        <v>84</v>
      </c>
      <c r="G155" s="113">
        <f>G154</f>
        <v>84</v>
      </c>
      <c r="H155" s="113">
        <f>H154</f>
        <v>85</v>
      </c>
      <c r="I155" s="113">
        <f>I154</f>
        <v>84</v>
      </c>
      <c r="J155" s="113">
        <f>J154</f>
        <v>252</v>
      </c>
      <c r="K155" s="113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4" customHeight="1">
      <c r="A156" s="79">
        <f>A155</f>
        <v>7</v>
      </c>
      <c r="B156" s="117" t="s">
        <v>660</v>
      </c>
      <c r="C156" s="118" t="s">
        <v>40</v>
      </c>
      <c r="D156" s="119">
        <v>2007</v>
      </c>
      <c r="E156" s="79">
        <f>E155</f>
        <v>83</v>
      </c>
      <c r="F156" s="79">
        <f>F155</f>
        <v>84</v>
      </c>
      <c r="G156" s="79">
        <f>G155</f>
        <v>84</v>
      </c>
      <c r="H156" s="79">
        <f>H155</f>
        <v>85</v>
      </c>
      <c r="I156" s="79">
        <f>I155</f>
        <v>84</v>
      </c>
      <c r="J156" s="79">
        <f>J155</f>
        <v>252</v>
      </c>
      <c r="K156" s="79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4" customHeight="1">
      <c r="A157" s="76">
        <v>8</v>
      </c>
      <c r="B157" s="117" t="s">
        <v>657</v>
      </c>
      <c r="C157" s="143" t="s">
        <v>27</v>
      </c>
      <c r="D157" s="119">
        <v>2008</v>
      </c>
      <c r="E157" s="76">
        <v>82</v>
      </c>
      <c r="F157" s="76">
        <v>83</v>
      </c>
      <c r="G157" s="76">
        <v>83</v>
      </c>
      <c r="H157" s="76">
        <v>83</v>
      </c>
      <c r="I157" s="76">
        <v>84</v>
      </c>
      <c r="J157" s="76">
        <v>249</v>
      </c>
      <c r="K157" s="76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4" customHeight="1">
      <c r="A158" s="113">
        <f>A157</f>
        <v>8</v>
      </c>
      <c r="B158" s="117" t="s">
        <v>684</v>
      </c>
      <c r="C158" s="143" t="s">
        <v>27</v>
      </c>
      <c r="D158" s="119">
        <v>2008</v>
      </c>
      <c r="E158" s="113">
        <f>E157</f>
        <v>82</v>
      </c>
      <c r="F158" s="113">
        <f>F157</f>
        <v>83</v>
      </c>
      <c r="G158" s="113">
        <f>G157</f>
        <v>83</v>
      </c>
      <c r="H158" s="113">
        <f>H157</f>
        <v>83</v>
      </c>
      <c r="I158" s="113">
        <f>I157</f>
        <v>84</v>
      </c>
      <c r="J158" s="113">
        <f>J157</f>
        <v>249</v>
      </c>
      <c r="K158" s="113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4" customHeight="1">
      <c r="A159" s="79">
        <f>A158</f>
        <v>8</v>
      </c>
      <c r="B159" s="117" t="s">
        <v>685</v>
      </c>
      <c r="C159" s="143" t="s">
        <v>27</v>
      </c>
      <c r="D159" s="119">
        <v>2008</v>
      </c>
      <c r="E159" s="79">
        <f>E158</f>
        <v>82</v>
      </c>
      <c r="F159" s="79">
        <f>F158</f>
        <v>83</v>
      </c>
      <c r="G159" s="79">
        <f>G158</f>
        <v>83</v>
      </c>
      <c r="H159" s="79">
        <f>H158</f>
        <v>83</v>
      </c>
      <c r="I159" s="79">
        <f>I158</f>
        <v>84</v>
      </c>
      <c r="J159" s="79">
        <f>J158</f>
        <v>249</v>
      </c>
      <c r="K159" s="79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4" customHeight="1">
      <c r="A160" s="76">
        <v>4</v>
      </c>
      <c r="B160" s="117" t="s">
        <v>675</v>
      </c>
      <c r="C160" s="142" t="s">
        <v>48</v>
      </c>
      <c r="D160" s="119">
        <v>2008</v>
      </c>
      <c r="E160" s="76">
        <v>81</v>
      </c>
      <c r="F160" s="76">
        <v>81</v>
      </c>
      <c r="G160" s="76">
        <v>82</v>
      </c>
      <c r="H160" s="76">
        <v>80</v>
      </c>
      <c r="I160" s="76">
        <v>80</v>
      </c>
      <c r="J160" s="76">
        <v>242</v>
      </c>
      <c r="K160" s="76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4" customHeight="1">
      <c r="A161" s="113">
        <f>A160</f>
        <v>4</v>
      </c>
      <c r="B161" s="117" t="s">
        <v>676</v>
      </c>
      <c r="C161" s="142" t="s">
        <v>48</v>
      </c>
      <c r="D161" s="119">
        <v>2004</v>
      </c>
      <c r="E161" s="113">
        <f>E160</f>
        <v>81</v>
      </c>
      <c r="F161" s="113">
        <f>F160</f>
        <v>81</v>
      </c>
      <c r="G161" s="113">
        <f>G160</f>
        <v>82</v>
      </c>
      <c r="H161" s="113">
        <f>H160</f>
        <v>80</v>
      </c>
      <c r="I161" s="113">
        <f>I160</f>
        <v>80</v>
      </c>
      <c r="J161" s="113">
        <f>J160</f>
        <v>242</v>
      </c>
      <c r="K161" s="113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4" customHeight="1">
      <c r="A162" s="79">
        <f>A161</f>
        <v>4</v>
      </c>
      <c r="B162" s="117" t="s">
        <v>677</v>
      </c>
      <c r="C162" s="142" t="s">
        <v>48</v>
      </c>
      <c r="D162" s="119">
        <v>2007</v>
      </c>
      <c r="E162" s="79">
        <f>E161</f>
        <v>81</v>
      </c>
      <c r="F162" s="79">
        <f>F161</f>
        <v>81</v>
      </c>
      <c r="G162" s="79">
        <f>G161</f>
        <v>82</v>
      </c>
      <c r="H162" s="79">
        <f>H161</f>
        <v>80</v>
      </c>
      <c r="I162" s="79">
        <f>I161</f>
        <v>80</v>
      </c>
      <c r="J162" s="79">
        <f>J161</f>
        <v>242</v>
      </c>
      <c r="K162" s="79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4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45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4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>
      <c r="A166" s="114" t="s">
        <v>686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89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45">
      <c r="A167" s="54" t="s">
        <v>453</v>
      </c>
      <c r="B167" s="54" t="s">
        <v>454</v>
      </c>
      <c r="C167" s="54" t="s">
        <v>9</v>
      </c>
      <c r="D167" s="48" t="s">
        <v>455</v>
      </c>
      <c r="E167" s="90" t="s">
        <v>456</v>
      </c>
      <c r="F167" s="91"/>
      <c r="G167" s="91"/>
      <c r="H167" s="91"/>
      <c r="I167" s="92"/>
      <c r="J167" s="48" t="s">
        <v>457</v>
      </c>
      <c r="K167" s="48" t="s">
        <v>458</v>
      </c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>
      <c r="A168" s="93"/>
      <c r="B168" s="93"/>
      <c r="C168" s="93"/>
      <c r="D168" s="93"/>
      <c r="E168" s="7">
        <v>1</v>
      </c>
      <c r="F168" s="7">
        <v>2</v>
      </c>
      <c r="G168" s="7">
        <v>3</v>
      </c>
      <c r="H168" s="7">
        <v>4</v>
      </c>
      <c r="I168" s="7">
        <v>5</v>
      </c>
      <c r="J168" s="93"/>
      <c r="K168" s="93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45">
      <c r="A169" s="94"/>
      <c r="B169" s="94"/>
      <c r="C169" s="94"/>
      <c r="D169" s="94"/>
      <c r="E169" s="95"/>
      <c r="F169" s="95"/>
      <c r="G169" s="95"/>
      <c r="H169" s="95"/>
      <c r="I169" s="95"/>
      <c r="J169" s="94"/>
      <c r="K169" s="94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4" customHeight="1">
      <c r="A170" s="76">
        <v>6</v>
      </c>
      <c r="B170" s="117" t="s">
        <v>658</v>
      </c>
      <c r="C170" s="118" t="s">
        <v>17</v>
      </c>
      <c r="D170" s="119">
        <v>2007</v>
      </c>
      <c r="E170" s="76">
        <v>86</v>
      </c>
      <c r="F170" s="76">
        <v>86</v>
      </c>
      <c r="G170" s="76">
        <v>86</v>
      </c>
      <c r="H170" s="76">
        <v>86</v>
      </c>
      <c r="I170" s="76">
        <v>86</v>
      </c>
      <c r="J170" s="76">
        <v>258</v>
      </c>
      <c r="K170" s="146" t="s">
        <v>462</v>
      </c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4" customHeight="1">
      <c r="A171" s="79"/>
      <c r="B171" s="117" t="s">
        <v>672</v>
      </c>
      <c r="C171" s="118" t="s">
        <v>17</v>
      </c>
      <c r="D171" s="119">
        <v>2007</v>
      </c>
      <c r="E171" s="79"/>
      <c r="F171" s="79">
        <f>F170</f>
        <v>86</v>
      </c>
      <c r="G171" s="79">
        <f>G170</f>
        <v>86</v>
      </c>
      <c r="H171" s="79">
        <f>H170</f>
        <v>86</v>
      </c>
      <c r="I171" s="79">
        <f>I170</f>
        <v>86</v>
      </c>
      <c r="J171" s="79">
        <f>J170</f>
        <v>258</v>
      </c>
      <c r="K171" s="79" t="str">
        <f>K170</f>
        <v>Hạng 1</v>
      </c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4" customHeight="1">
      <c r="A172" s="76">
        <v>8</v>
      </c>
      <c r="B172" s="129" t="s">
        <v>681</v>
      </c>
      <c r="C172" s="120" t="s">
        <v>62</v>
      </c>
      <c r="D172" s="121">
        <v>2008</v>
      </c>
      <c r="E172" s="76">
        <v>87</v>
      </c>
      <c r="F172" s="76">
        <v>85</v>
      </c>
      <c r="G172" s="76">
        <v>85</v>
      </c>
      <c r="H172" s="76">
        <v>86</v>
      </c>
      <c r="I172" s="76">
        <v>86</v>
      </c>
      <c r="J172" s="76">
        <v>257</v>
      </c>
      <c r="K172" s="76" t="s">
        <v>466</v>
      </c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4" customHeight="1">
      <c r="A173" s="79">
        <f>A172</f>
        <v>8</v>
      </c>
      <c r="B173" s="129" t="s">
        <v>664</v>
      </c>
      <c r="C173" s="120" t="s">
        <v>62</v>
      </c>
      <c r="D173" s="121">
        <v>2008</v>
      </c>
      <c r="E173" s="79">
        <f>E172</f>
        <v>87</v>
      </c>
      <c r="F173" s="79">
        <f>F172</f>
        <v>85</v>
      </c>
      <c r="G173" s="79">
        <f>G172</f>
        <v>85</v>
      </c>
      <c r="H173" s="79">
        <f>H172</f>
        <v>86</v>
      </c>
      <c r="I173" s="79">
        <f>I172</f>
        <v>86</v>
      </c>
      <c r="J173" s="79">
        <f>J172</f>
        <v>257</v>
      </c>
      <c r="K173" s="79" t="str">
        <f>K172</f>
        <v>Hạng 2</v>
      </c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4" customHeight="1">
      <c r="A174" s="76">
        <v>2</v>
      </c>
      <c r="B174" s="117" t="s">
        <v>678</v>
      </c>
      <c r="C174" s="120" t="s">
        <v>326</v>
      </c>
      <c r="D174" s="119">
        <v>2008</v>
      </c>
      <c r="E174" s="76">
        <v>85</v>
      </c>
      <c r="F174" s="76">
        <v>83</v>
      </c>
      <c r="G174" s="76">
        <v>86</v>
      </c>
      <c r="H174" s="76">
        <v>84</v>
      </c>
      <c r="I174" s="76">
        <v>85</v>
      </c>
      <c r="J174" s="76">
        <v>254</v>
      </c>
      <c r="K174" s="76" t="s">
        <v>460</v>
      </c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4" customHeight="1">
      <c r="A175" s="79">
        <f>A174</f>
        <v>2</v>
      </c>
      <c r="B175" s="117" t="s">
        <v>655</v>
      </c>
      <c r="C175" s="120" t="s">
        <v>326</v>
      </c>
      <c r="D175" s="119">
        <v>2006</v>
      </c>
      <c r="E175" s="79">
        <f>E174</f>
        <v>85</v>
      </c>
      <c r="F175" s="79">
        <f>F174</f>
        <v>83</v>
      </c>
      <c r="G175" s="79">
        <f>G174</f>
        <v>86</v>
      </c>
      <c r="H175" s="79">
        <f>H174</f>
        <v>84</v>
      </c>
      <c r="I175" s="79">
        <f>I174</f>
        <v>85</v>
      </c>
      <c r="J175" s="79">
        <f>J174</f>
        <v>254</v>
      </c>
      <c r="K175" s="79" t="str">
        <f>K174</f>
        <v>Hạng 3</v>
      </c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4" customHeight="1">
      <c r="A176" s="76">
        <v>5</v>
      </c>
      <c r="B176" s="117" t="s">
        <v>682</v>
      </c>
      <c r="C176" s="120" t="s">
        <v>40</v>
      </c>
      <c r="D176" s="119">
        <v>2007</v>
      </c>
      <c r="E176" s="76">
        <v>85</v>
      </c>
      <c r="F176" s="76">
        <v>83</v>
      </c>
      <c r="G176" s="76">
        <v>85</v>
      </c>
      <c r="H176" s="76">
        <v>85</v>
      </c>
      <c r="I176" s="76">
        <v>84</v>
      </c>
      <c r="J176" s="76">
        <v>254</v>
      </c>
      <c r="K176" s="76" t="s">
        <v>460</v>
      </c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4" customHeight="1">
      <c r="A177" s="79">
        <f>A176</f>
        <v>5</v>
      </c>
      <c r="B177" s="117" t="s">
        <v>683</v>
      </c>
      <c r="C177" s="120" t="s">
        <v>40</v>
      </c>
      <c r="D177" s="119">
        <v>2007</v>
      </c>
      <c r="E177" s="79">
        <f>E176</f>
        <v>85</v>
      </c>
      <c r="F177" s="79">
        <f>F176</f>
        <v>83</v>
      </c>
      <c r="G177" s="79">
        <f>G176</f>
        <v>85</v>
      </c>
      <c r="H177" s="79">
        <f>H176</f>
        <v>85</v>
      </c>
      <c r="I177" s="79">
        <f>I176</f>
        <v>84</v>
      </c>
      <c r="J177" s="79">
        <f>J176</f>
        <v>254</v>
      </c>
      <c r="K177" s="79" t="str">
        <f>K176</f>
        <v>Hạng 3</v>
      </c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4" customHeight="1">
      <c r="A178" s="76">
        <v>1</v>
      </c>
      <c r="B178" s="117" t="s">
        <v>662</v>
      </c>
      <c r="C178" s="118" t="s">
        <v>70</v>
      </c>
      <c r="D178" s="119">
        <v>2007</v>
      </c>
      <c r="E178" s="76">
        <v>84</v>
      </c>
      <c r="F178" s="76">
        <v>84</v>
      </c>
      <c r="G178" s="76">
        <v>85</v>
      </c>
      <c r="H178" s="76">
        <v>84</v>
      </c>
      <c r="I178" s="76">
        <v>84</v>
      </c>
      <c r="J178" s="76">
        <v>252</v>
      </c>
      <c r="K178" s="76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4" customHeight="1">
      <c r="A179" s="79">
        <f>A178</f>
        <v>1</v>
      </c>
      <c r="B179" s="117" t="s">
        <v>687</v>
      </c>
      <c r="C179" s="118" t="s">
        <v>70</v>
      </c>
      <c r="D179" s="119">
        <v>2008</v>
      </c>
      <c r="E179" s="79">
        <f>E178</f>
        <v>84</v>
      </c>
      <c r="F179" s="79">
        <f>F178</f>
        <v>84</v>
      </c>
      <c r="G179" s="79">
        <f>G178</f>
        <v>85</v>
      </c>
      <c r="H179" s="79">
        <f>H178</f>
        <v>84</v>
      </c>
      <c r="I179" s="79">
        <f>I178</f>
        <v>84</v>
      </c>
      <c r="J179" s="79">
        <f>J178</f>
        <v>252</v>
      </c>
      <c r="K179" s="79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4" customHeight="1">
      <c r="A180" s="76">
        <v>4</v>
      </c>
      <c r="B180" s="117" t="s">
        <v>659</v>
      </c>
      <c r="C180" s="120" t="s">
        <v>13</v>
      </c>
      <c r="D180" s="119">
        <v>2008</v>
      </c>
      <c r="E180" s="76">
        <v>84</v>
      </c>
      <c r="F180" s="76">
        <v>84</v>
      </c>
      <c r="G180" s="76">
        <v>84</v>
      </c>
      <c r="H180" s="76">
        <v>84</v>
      </c>
      <c r="I180" s="76">
        <v>85</v>
      </c>
      <c r="J180" s="76">
        <v>252</v>
      </c>
      <c r="K180" s="76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4" customHeight="1">
      <c r="A181" s="79">
        <f>A180</f>
        <v>4</v>
      </c>
      <c r="B181" s="117" t="s">
        <v>674</v>
      </c>
      <c r="C181" s="120" t="s">
        <v>13</v>
      </c>
      <c r="D181" s="119">
        <v>2007</v>
      </c>
      <c r="E181" s="79">
        <f>E180</f>
        <v>84</v>
      </c>
      <c r="F181" s="79">
        <f>F180</f>
        <v>84</v>
      </c>
      <c r="G181" s="79">
        <f>G180</f>
        <v>84</v>
      </c>
      <c r="H181" s="79">
        <f>H180</f>
        <v>84</v>
      </c>
      <c r="I181" s="79">
        <f>I180</f>
        <v>85</v>
      </c>
      <c r="J181" s="79">
        <f>J180</f>
        <v>252</v>
      </c>
      <c r="K181" s="79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4" customHeight="1">
      <c r="A182" s="76">
        <v>7</v>
      </c>
      <c r="B182" s="117" t="s">
        <v>665</v>
      </c>
      <c r="C182" s="118" t="s">
        <v>15</v>
      </c>
      <c r="D182" s="119">
        <v>2003</v>
      </c>
      <c r="E182" s="76">
        <v>84</v>
      </c>
      <c r="F182" s="76">
        <v>83</v>
      </c>
      <c r="G182" s="76">
        <v>84</v>
      </c>
      <c r="H182" s="76">
        <v>84</v>
      </c>
      <c r="I182" s="76">
        <v>85</v>
      </c>
      <c r="J182" s="76">
        <v>252</v>
      </c>
      <c r="K182" s="76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4" customHeight="1">
      <c r="A183" s="79">
        <f>A182</f>
        <v>7</v>
      </c>
      <c r="B183" s="117" t="s">
        <v>688</v>
      </c>
      <c r="C183" s="118" t="s">
        <v>15</v>
      </c>
      <c r="D183" s="119">
        <v>2007</v>
      </c>
      <c r="E183" s="79">
        <f>E182</f>
        <v>84</v>
      </c>
      <c r="F183" s="79">
        <f>F182</f>
        <v>83</v>
      </c>
      <c r="G183" s="79">
        <f>G182</f>
        <v>84</v>
      </c>
      <c r="H183" s="79">
        <f>H182</f>
        <v>84</v>
      </c>
      <c r="I183" s="79">
        <f>I182</f>
        <v>85</v>
      </c>
      <c r="J183" s="79">
        <f>J182</f>
        <v>252</v>
      </c>
      <c r="K183" s="79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4" customHeight="1">
      <c r="A184" s="76">
        <v>3</v>
      </c>
      <c r="B184" s="117" t="s">
        <v>675</v>
      </c>
      <c r="C184" s="118" t="s">
        <v>48</v>
      </c>
      <c r="D184" s="119">
        <v>2008</v>
      </c>
      <c r="E184" s="76">
        <v>83</v>
      </c>
      <c r="F184" s="76">
        <v>82</v>
      </c>
      <c r="G184" s="76">
        <v>83</v>
      </c>
      <c r="H184" s="76">
        <v>83</v>
      </c>
      <c r="I184" s="76">
        <v>83</v>
      </c>
      <c r="J184" s="76">
        <v>249</v>
      </c>
      <c r="K184" s="76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4" customHeight="1">
      <c r="A185" s="79">
        <f>A184</f>
        <v>3</v>
      </c>
      <c r="B185" s="117" t="s">
        <v>676</v>
      </c>
      <c r="C185" s="118" t="s">
        <v>48</v>
      </c>
      <c r="D185" s="119">
        <v>2004</v>
      </c>
      <c r="E185" s="79">
        <f>E184</f>
        <v>83</v>
      </c>
      <c r="F185" s="79">
        <f>F184</f>
        <v>82</v>
      </c>
      <c r="G185" s="79">
        <f>G184</f>
        <v>83</v>
      </c>
      <c r="H185" s="79">
        <f>H184</f>
        <v>83</v>
      </c>
      <c r="I185" s="79">
        <f>I184</f>
        <v>83</v>
      </c>
      <c r="J185" s="79">
        <f>J184</f>
        <v>249</v>
      </c>
      <c r="K185" s="79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45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45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>
      <c r="A188" s="114" t="s">
        <v>689</v>
      </c>
      <c r="B188" s="88"/>
      <c r="C188" s="88"/>
      <c r="D188" s="88"/>
      <c r="E188" s="88"/>
      <c r="F188" s="88"/>
      <c r="G188" s="88"/>
      <c r="H188" s="88"/>
      <c r="I188" s="88"/>
      <c r="J188" s="88"/>
      <c r="K188" s="89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45">
      <c r="A189" s="115" t="s">
        <v>453</v>
      </c>
      <c r="B189" s="115" t="s">
        <v>454</v>
      </c>
      <c r="C189" s="115" t="s">
        <v>9</v>
      </c>
      <c r="D189" s="116" t="s">
        <v>455</v>
      </c>
      <c r="E189" s="90" t="s">
        <v>456</v>
      </c>
      <c r="F189" s="91"/>
      <c r="G189" s="91"/>
      <c r="H189" s="91"/>
      <c r="I189" s="92"/>
      <c r="J189" s="116" t="s">
        <v>457</v>
      </c>
      <c r="K189" s="116" t="s">
        <v>458</v>
      </c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>
      <c r="A190" s="93"/>
      <c r="B190" s="93"/>
      <c r="C190" s="93"/>
      <c r="D190" s="93"/>
      <c r="E190" s="7">
        <v>1</v>
      </c>
      <c r="F190" s="7">
        <v>2</v>
      </c>
      <c r="G190" s="7">
        <v>3</v>
      </c>
      <c r="H190" s="7">
        <v>4</v>
      </c>
      <c r="I190" s="7">
        <v>5</v>
      </c>
      <c r="J190" s="93"/>
      <c r="K190" s="93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>
      <c r="A191" s="94"/>
      <c r="B191" s="94"/>
      <c r="C191" s="94"/>
      <c r="D191" s="94"/>
      <c r="E191" s="95"/>
      <c r="F191" s="95"/>
      <c r="G191" s="95"/>
      <c r="H191" s="95"/>
      <c r="I191" s="95"/>
      <c r="J191" s="94"/>
      <c r="K191" s="94"/>
      <c r="L191" s="98"/>
      <c r="M191" s="134" t="s">
        <v>690</v>
      </c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4" customHeight="1">
      <c r="A192" s="76">
        <v>3</v>
      </c>
      <c r="B192" s="117" t="s">
        <v>589</v>
      </c>
      <c r="C192" s="118" t="s">
        <v>62</v>
      </c>
      <c r="D192" s="119">
        <v>2007</v>
      </c>
      <c r="E192" s="76">
        <v>88</v>
      </c>
      <c r="F192" s="76">
        <v>87</v>
      </c>
      <c r="G192" s="76">
        <v>87</v>
      </c>
      <c r="H192" s="76">
        <v>87</v>
      </c>
      <c r="I192" s="76">
        <v>87</v>
      </c>
      <c r="J192" s="76">
        <v>261</v>
      </c>
      <c r="K192" s="76" t="s">
        <v>692</v>
      </c>
      <c r="L192" s="98"/>
      <c r="M192" s="76">
        <v>86</v>
      </c>
      <c r="N192" s="76">
        <v>85</v>
      </c>
      <c r="O192" s="76">
        <v>86</v>
      </c>
      <c r="P192" s="76">
        <v>87</v>
      </c>
      <c r="Q192" s="76">
        <v>86</v>
      </c>
      <c r="R192" s="76">
        <v>258</v>
      </c>
      <c r="S192" s="98"/>
      <c r="T192" s="98"/>
      <c r="U192" s="98"/>
      <c r="V192" s="98"/>
      <c r="W192" s="98"/>
      <c r="X192" s="98"/>
      <c r="Y192" s="98"/>
      <c r="Z192" s="98"/>
    </row>
    <row r="193" spans="1:26" ht="14" customHeight="1">
      <c r="A193" s="113"/>
      <c r="B193" s="117" t="s">
        <v>646</v>
      </c>
      <c r="C193" s="118" t="s">
        <v>62</v>
      </c>
      <c r="D193" s="119">
        <v>2007</v>
      </c>
      <c r="E193" s="113"/>
      <c r="F193" s="113">
        <f>F192</f>
        <v>87</v>
      </c>
      <c r="G193" s="113">
        <f>G192</f>
        <v>87</v>
      </c>
      <c r="H193" s="113">
        <f>H192</f>
        <v>87</v>
      </c>
      <c r="I193" s="113">
        <f>I192</f>
        <v>87</v>
      </c>
      <c r="J193" s="113">
        <f>J192</f>
        <v>261</v>
      </c>
      <c r="K193" s="113" t="str">
        <f>K192</f>
        <v>Hạng 1
thi lại</v>
      </c>
      <c r="L193" s="98"/>
      <c r="M193" s="113"/>
      <c r="N193" s="113"/>
      <c r="O193" s="113"/>
      <c r="P193" s="113"/>
      <c r="Q193" s="113"/>
      <c r="R193" s="113"/>
      <c r="S193" s="98"/>
      <c r="T193" s="98"/>
      <c r="U193" s="98"/>
      <c r="V193" s="98"/>
      <c r="W193" s="98"/>
      <c r="X193" s="98"/>
      <c r="Y193" s="98"/>
      <c r="Z193" s="98"/>
    </row>
    <row r="194" spans="1:26" ht="14" customHeight="1">
      <c r="A194" s="113"/>
      <c r="B194" s="117" t="s">
        <v>600</v>
      </c>
      <c r="C194" s="118" t="s">
        <v>62</v>
      </c>
      <c r="D194" s="119">
        <v>2008</v>
      </c>
      <c r="E194" s="113"/>
      <c r="F194" s="113">
        <f>F193</f>
        <v>87</v>
      </c>
      <c r="G194" s="113">
        <f>G193</f>
        <v>87</v>
      </c>
      <c r="H194" s="113">
        <f>H193</f>
        <v>87</v>
      </c>
      <c r="I194" s="113">
        <f>I193</f>
        <v>87</v>
      </c>
      <c r="J194" s="113">
        <f>J193</f>
        <v>261</v>
      </c>
      <c r="K194" s="113" t="str">
        <f>K193</f>
        <v>Hạng 1
thi lại</v>
      </c>
      <c r="L194" s="98"/>
      <c r="M194" s="113"/>
      <c r="N194" s="113"/>
      <c r="O194" s="113"/>
      <c r="P194" s="113"/>
      <c r="Q194" s="113"/>
      <c r="R194" s="113"/>
      <c r="S194" s="98"/>
      <c r="T194" s="98"/>
      <c r="U194" s="98"/>
      <c r="V194" s="98"/>
      <c r="W194" s="98"/>
      <c r="X194" s="98"/>
      <c r="Y194" s="98"/>
      <c r="Z194" s="98"/>
    </row>
    <row r="195" spans="1:26" ht="14" customHeight="1">
      <c r="A195" s="79"/>
      <c r="B195" s="117" t="s">
        <v>680</v>
      </c>
      <c r="C195" s="118" t="s">
        <v>62</v>
      </c>
      <c r="D195" s="119">
        <v>2006</v>
      </c>
      <c r="E195" s="79"/>
      <c r="F195" s="79">
        <f>F194</f>
        <v>87</v>
      </c>
      <c r="G195" s="79">
        <f>G194</f>
        <v>87</v>
      </c>
      <c r="H195" s="79">
        <f>H194</f>
        <v>87</v>
      </c>
      <c r="I195" s="79">
        <f>I194</f>
        <v>87</v>
      </c>
      <c r="J195" s="79">
        <f>J194</f>
        <v>261</v>
      </c>
      <c r="K195" s="79" t="str">
        <f>K194</f>
        <v>Hạng 1
thi lại</v>
      </c>
      <c r="L195" s="98"/>
      <c r="M195" s="79"/>
      <c r="N195" s="79"/>
      <c r="O195" s="79"/>
      <c r="P195" s="79"/>
      <c r="Q195" s="79"/>
      <c r="R195" s="79"/>
      <c r="S195" s="98"/>
      <c r="T195" s="98"/>
      <c r="U195" s="98"/>
      <c r="V195" s="98"/>
      <c r="W195" s="98"/>
      <c r="X195" s="98"/>
      <c r="Y195" s="98"/>
      <c r="Z195" s="98"/>
    </row>
    <row r="196" spans="1:26" ht="14" customHeight="1">
      <c r="A196" s="76">
        <v>2</v>
      </c>
      <c r="B196" s="117" t="s">
        <v>642</v>
      </c>
      <c r="C196" s="118" t="s">
        <v>40</v>
      </c>
      <c r="D196" s="119">
        <v>2008</v>
      </c>
      <c r="E196" s="76">
        <v>87</v>
      </c>
      <c r="F196" s="76">
        <v>86</v>
      </c>
      <c r="G196" s="76">
        <v>86</v>
      </c>
      <c r="H196" s="76">
        <v>86</v>
      </c>
      <c r="I196" s="76">
        <v>86</v>
      </c>
      <c r="J196" s="76">
        <v>258</v>
      </c>
      <c r="K196" s="76" t="s">
        <v>691</v>
      </c>
      <c r="L196" s="98"/>
      <c r="M196" s="108">
        <v>86</v>
      </c>
      <c r="N196" s="108">
        <v>85</v>
      </c>
      <c r="O196" s="108">
        <v>86</v>
      </c>
      <c r="P196" s="108">
        <v>86</v>
      </c>
      <c r="Q196" s="108">
        <v>86</v>
      </c>
      <c r="R196" s="108">
        <v>258</v>
      </c>
      <c r="S196" s="98"/>
      <c r="T196" s="98"/>
      <c r="U196" s="98"/>
      <c r="V196" s="98"/>
      <c r="W196" s="98"/>
      <c r="X196" s="98"/>
      <c r="Y196" s="98"/>
      <c r="Z196" s="98"/>
    </row>
    <row r="197" spans="1:26" ht="14" customHeight="1">
      <c r="A197" s="113">
        <f>A196</f>
        <v>2</v>
      </c>
      <c r="B197" s="117" t="s">
        <v>621</v>
      </c>
      <c r="C197" s="118" t="s">
        <v>40</v>
      </c>
      <c r="D197" s="119">
        <v>2007</v>
      </c>
      <c r="E197" s="113">
        <f>E196</f>
        <v>87</v>
      </c>
      <c r="F197" s="113">
        <f>F196</f>
        <v>86</v>
      </c>
      <c r="G197" s="113">
        <f>G196</f>
        <v>86</v>
      </c>
      <c r="H197" s="113">
        <f>H196</f>
        <v>86</v>
      </c>
      <c r="I197" s="113">
        <f>I196</f>
        <v>86</v>
      </c>
      <c r="J197" s="113">
        <f>J196</f>
        <v>258</v>
      </c>
      <c r="K197" s="113" t="str">
        <f>K196</f>
        <v>Hạng 2
thi lại</v>
      </c>
      <c r="L197" s="98"/>
      <c r="M197" s="93"/>
      <c r="N197" s="93"/>
      <c r="O197" s="93"/>
      <c r="P197" s="93"/>
      <c r="Q197" s="93"/>
      <c r="R197" s="93"/>
      <c r="S197" s="98"/>
      <c r="T197" s="98"/>
      <c r="U197" s="98"/>
      <c r="V197" s="98"/>
      <c r="W197" s="98"/>
      <c r="X197" s="98"/>
      <c r="Y197" s="98"/>
      <c r="Z197" s="98"/>
    </row>
    <row r="198" spans="1:26" ht="14" customHeight="1">
      <c r="A198" s="113">
        <f>A197</f>
        <v>2</v>
      </c>
      <c r="B198" s="117" t="s">
        <v>605</v>
      </c>
      <c r="C198" s="118" t="s">
        <v>40</v>
      </c>
      <c r="D198" s="119">
        <v>2008</v>
      </c>
      <c r="E198" s="113">
        <f>E197</f>
        <v>87</v>
      </c>
      <c r="F198" s="113">
        <f>F197</f>
        <v>86</v>
      </c>
      <c r="G198" s="113">
        <f>G197</f>
        <v>86</v>
      </c>
      <c r="H198" s="113">
        <f>H197</f>
        <v>86</v>
      </c>
      <c r="I198" s="113">
        <f>I197</f>
        <v>86</v>
      </c>
      <c r="J198" s="113">
        <f>J197</f>
        <v>258</v>
      </c>
      <c r="K198" s="113" t="str">
        <f>K197</f>
        <v>Hạng 2
thi lại</v>
      </c>
      <c r="L198" s="98"/>
      <c r="M198" s="93"/>
      <c r="N198" s="93"/>
      <c r="O198" s="93"/>
      <c r="P198" s="93"/>
      <c r="Q198" s="93"/>
      <c r="R198" s="93"/>
      <c r="S198" s="98"/>
      <c r="T198" s="98"/>
      <c r="U198" s="98"/>
      <c r="V198" s="98"/>
      <c r="W198" s="98"/>
      <c r="X198" s="98"/>
      <c r="Y198" s="98"/>
      <c r="Z198" s="98"/>
    </row>
    <row r="199" spans="1:26" ht="14" customHeight="1">
      <c r="A199" s="79">
        <f>A198</f>
        <v>2</v>
      </c>
      <c r="B199" s="117" t="s">
        <v>682</v>
      </c>
      <c r="C199" s="118" t="s">
        <v>40</v>
      </c>
      <c r="D199" s="119">
        <v>2007</v>
      </c>
      <c r="E199" s="79">
        <f>E198</f>
        <v>87</v>
      </c>
      <c r="F199" s="79">
        <f>F198</f>
        <v>86</v>
      </c>
      <c r="G199" s="79">
        <f>G198</f>
        <v>86</v>
      </c>
      <c r="H199" s="79">
        <f>H198</f>
        <v>86</v>
      </c>
      <c r="I199" s="79">
        <f>I198</f>
        <v>86</v>
      </c>
      <c r="J199" s="79">
        <f>J198</f>
        <v>258</v>
      </c>
      <c r="K199" s="79" t="str">
        <f>K198</f>
        <v>Hạng 2
thi lại</v>
      </c>
      <c r="L199" s="98"/>
      <c r="M199" s="94"/>
      <c r="N199" s="94"/>
      <c r="O199" s="94"/>
      <c r="P199" s="94"/>
      <c r="Q199" s="94"/>
      <c r="R199" s="94"/>
      <c r="S199" s="98"/>
      <c r="T199" s="98"/>
      <c r="U199" s="98"/>
      <c r="V199" s="98"/>
      <c r="W199" s="98"/>
      <c r="X199" s="98"/>
      <c r="Y199" s="98"/>
      <c r="Z199" s="98"/>
    </row>
    <row r="200" spans="1:26" ht="14" customHeight="1">
      <c r="A200" s="76">
        <v>7</v>
      </c>
      <c r="B200" s="117" t="s">
        <v>695</v>
      </c>
      <c r="C200" s="118" t="s">
        <v>44</v>
      </c>
      <c r="D200" s="119">
        <v>2008</v>
      </c>
      <c r="E200" s="76">
        <v>85</v>
      </c>
      <c r="F200" s="76">
        <v>85</v>
      </c>
      <c r="G200" s="76">
        <v>85</v>
      </c>
      <c r="H200" s="76">
        <v>87</v>
      </c>
      <c r="I200" s="76">
        <v>86</v>
      </c>
      <c r="J200" s="76">
        <v>256</v>
      </c>
      <c r="K200" s="76" t="s">
        <v>460</v>
      </c>
      <c r="L200" s="98"/>
      <c r="S200" s="98"/>
      <c r="T200" s="98"/>
      <c r="U200" s="98"/>
      <c r="V200" s="98"/>
      <c r="W200" s="98"/>
      <c r="X200" s="98"/>
      <c r="Y200" s="98"/>
      <c r="Z200" s="98"/>
    </row>
    <row r="201" spans="1:26" ht="14" customHeight="1">
      <c r="A201" s="113">
        <f>A200</f>
        <v>7</v>
      </c>
      <c r="B201" s="117" t="s">
        <v>636</v>
      </c>
      <c r="C201" s="118" t="s">
        <v>44</v>
      </c>
      <c r="D201" s="119">
        <v>2006</v>
      </c>
      <c r="E201" s="113">
        <f>E200</f>
        <v>85</v>
      </c>
      <c r="F201" s="113">
        <f>F200</f>
        <v>85</v>
      </c>
      <c r="G201" s="113">
        <f>G200</f>
        <v>85</v>
      </c>
      <c r="H201" s="113">
        <f>H200</f>
        <v>87</v>
      </c>
      <c r="I201" s="113">
        <f>I200</f>
        <v>86</v>
      </c>
      <c r="J201" s="113">
        <f>J200</f>
        <v>256</v>
      </c>
      <c r="K201" s="113" t="str">
        <f>K200</f>
        <v>Hạng 3</v>
      </c>
      <c r="L201" s="98"/>
      <c r="S201" s="98"/>
      <c r="T201" s="98"/>
      <c r="U201" s="98"/>
      <c r="V201" s="98"/>
      <c r="W201" s="98"/>
      <c r="X201" s="98"/>
      <c r="Y201" s="98"/>
      <c r="Z201" s="98"/>
    </row>
    <row r="202" spans="1:26" ht="14" customHeight="1">
      <c r="A202" s="113">
        <f>A201</f>
        <v>7</v>
      </c>
      <c r="B202" s="117" t="s">
        <v>640</v>
      </c>
      <c r="C202" s="118" t="s">
        <v>44</v>
      </c>
      <c r="D202" s="119">
        <v>2006</v>
      </c>
      <c r="E202" s="113">
        <f>E201</f>
        <v>85</v>
      </c>
      <c r="F202" s="113">
        <f>F201</f>
        <v>85</v>
      </c>
      <c r="G202" s="113">
        <f>G201</f>
        <v>85</v>
      </c>
      <c r="H202" s="113">
        <f>H201</f>
        <v>87</v>
      </c>
      <c r="I202" s="113">
        <f>I201</f>
        <v>86</v>
      </c>
      <c r="J202" s="113">
        <f>J201</f>
        <v>256</v>
      </c>
      <c r="K202" s="113" t="str">
        <f>K201</f>
        <v>Hạng 3</v>
      </c>
      <c r="L202" s="98"/>
      <c r="S202" s="98"/>
      <c r="T202" s="98"/>
      <c r="U202" s="98"/>
      <c r="V202" s="98"/>
      <c r="W202" s="98"/>
      <c r="X202" s="98"/>
      <c r="Y202" s="98"/>
      <c r="Z202" s="98"/>
    </row>
    <row r="203" spans="1:26" ht="14" customHeight="1">
      <c r="A203" s="79">
        <f>A202</f>
        <v>7</v>
      </c>
      <c r="B203" s="117" t="s">
        <v>696</v>
      </c>
      <c r="C203" s="118" t="s">
        <v>44</v>
      </c>
      <c r="D203" s="119">
        <v>2007</v>
      </c>
      <c r="E203" s="79">
        <f>E202</f>
        <v>85</v>
      </c>
      <c r="F203" s="79">
        <f>F202</f>
        <v>85</v>
      </c>
      <c r="G203" s="79">
        <f>G202</f>
        <v>85</v>
      </c>
      <c r="H203" s="79">
        <f>H202</f>
        <v>87</v>
      </c>
      <c r="I203" s="79">
        <f>I202</f>
        <v>86</v>
      </c>
      <c r="J203" s="79">
        <f>J202</f>
        <v>256</v>
      </c>
      <c r="K203" s="79" t="str">
        <f>K202</f>
        <v>Hạng 3</v>
      </c>
      <c r="L203" s="98"/>
      <c r="S203" s="98"/>
      <c r="T203" s="98"/>
      <c r="U203" s="98"/>
      <c r="V203" s="98"/>
      <c r="W203" s="98"/>
      <c r="X203" s="98"/>
      <c r="Y203" s="98"/>
      <c r="Z203" s="98"/>
    </row>
    <row r="204" spans="1:26" ht="14" customHeight="1">
      <c r="A204" s="76">
        <v>1</v>
      </c>
      <c r="B204" s="117" t="s">
        <v>626</v>
      </c>
      <c r="C204" s="120" t="s">
        <v>51</v>
      </c>
      <c r="D204" s="119">
        <v>2008</v>
      </c>
      <c r="E204" s="76">
        <v>85</v>
      </c>
      <c r="F204" s="76">
        <v>85</v>
      </c>
      <c r="G204" s="76">
        <v>85</v>
      </c>
      <c r="H204" s="76">
        <v>86</v>
      </c>
      <c r="I204" s="76">
        <v>85</v>
      </c>
      <c r="J204" s="76">
        <v>255</v>
      </c>
      <c r="K204" s="76" t="s">
        <v>460</v>
      </c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4" customHeight="1">
      <c r="A205" s="113">
        <f>A204</f>
        <v>1</v>
      </c>
      <c r="B205" s="117" t="s">
        <v>607</v>
      </c>
      <c r="C205" s="120" t="s">
        <v>51</v>
      </c>
      <c r="D205" s="119">
        <v>2007</v>
      </c>
      <c r="E205" s="113">
        <f>E204</f>
        <v>85</v>
      </c>
      <c r="F205" s="113">
        <f>F204</f>
        <v>85</v>
      </c>
      <c r="G205" s="113">
        <f>G204</f>
        <v>85</v>
      </c>
      <c r="H205" s="113">
        <f>H204</f>
        <v>86</v>
      </c>
      <c r="I205" s="113">
        <f>I204</f>
        <v>85</v>
      </c>
      <c r="J205" s="113">
        <f>J204</f>
        <v>255</v>
      </c>
      <c r="K205" s="113" t="str">
        <f>K204</f>
        <v>Hạng 3</v>
      </c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4" customHeight="1">
      <c r="A206" s="113">
        <f>A205</f>
        <v>1</v>
      </c>
      <c r="B206" s="117" t="s">
        <v>661</v>
      </c>
      <c r="C206" s="120" t="s">
        <v>51</v>
      </c>
      <c r="D206" s="119">
        <v>2008</v>
      </c>
      <c r="E206" s="113">
        <f>E205</f>
        <v>85</v>
      </c>
      <c r="F206" s="113">
        <f>F205</f>
        <v>85</v>
      </c>
      <c r="G206" s="113">
        <f>G205</f>
        <v>85</v>
      </c>
      <c r="H206" s="113">
        <f>H205</f>
        <v>86</v>
      </c>
      <c r="I206" s="113">
        <f>I205</f>
        <v>85</v>
      </c>
      <c r="J206" s="113">
        <f>J205</f>
        <v>255</v>
      </c>
      <c r="K206" s="113" t="str">
        <f>K205</f>
        <v>Hạng 3</v>
      </c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4" customHeight="1">
      <c r="A207" s="79">
        <f>A206</f>
        <v>1</v>
      </c>
      <c r="B207" s="117" t="s">
        <v>627</v>
      </c>
      <c r="C207" s="120" t="s">
        <v>51</v>
      </c>
      <c r="D207" s="119">
        <v>2006</v>
      </c>
      <c r="E207" s="79">
        <f>E206</f>
        <v>85</v>
      </c>
      <c r="F207" s="79">
        <f>F206</f>
        <v>85</v>
      </c>
      <c r="G207" s="79">
        <f>G206</f>
        <v>85</v>
      </c>
      <c r="H207" s="79">
        <f>H206</f>
        <v>86</v>
      </c>
      <c r="I207" s="79">
        <f>I206</f>
        <v>85</v>
      </c>
      <c r="J207" s="79">
        <f>J206</f>
        <v>255</v>
      </c>
      <c r="K207" s="79" t="str">
        <f>K206</f>
        <v>Hạng 3</v>
      </c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4" customHeight="1">
      <c r="A208" s="76">
        <v>5</v>
      </c>
      <c r="B208" s="117" t="s">
        <v>629</v>
      </c>
      <c r="C208" s="118" t="s">
        <v>70</v>
      </c>
      <c r="D208" s="119">
        <v>2008</v>
      </c>
      <c r="E208" s="76">
        <v>84</v>
      </c>
      <c r="F208" s="76">
        <v>84</v>
      </c>
      <c r="G208" s="76">
        <v>85</v>
      </c>
      <c r="H208" s="76">
        <v>84</v>
      </c>
      <c r="I208" s="76">
        <v>86</v>
      </c>
      <c r="J208" s="76">
        <v>253</v>
      </c>
      <c r="K208" s="76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4" customHeight="1">
      <c r="A209" s="113">
        <f>A208</f>
        <v>5</v>
      </c>
      <c r="B209" s="117" t="s">
        <v>630</v>
      </c>
      <c r="C209" s="118" t="s">
        <v>70</v>
      </c>
      <c r="D209" s="119">
        <v>2001</v>
      </c>
      <c r="E209" s="113">
        <f>E208</f>
        <v>84</v>
      </c>
      <c r="F209" s="113">
        <f>F208</f>
        <v>84</v>
      </c>
      <c r="G209" s="113">
        <f>G208</f>
        <v>85</v>
      </c>
      <c r="H209" s="113">
        <f>H208</f>
        <v>84</v>
      </c>
      <c r="I209" s="113">
        <f>I208</f>
        <v>86</v>
      </c>
      <c r="J209" s="113">
        <f>J208</f>
        <v>253</v>
      </c>
      <c r="K209" s="113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4" customHeight="1">
      <c r="A210" s="113">
        <f>A209</f>
        <v>5</v>
      </c>
      <c r="B210" s="117" t="s">
        <v>631</v>
      </c>
      <c r="C210" s="118" t="s">
        <v>70</v>
      </c>
      <c r="D210" s="119">
        <v>2008</v>
      </c>
      <c r="E210" s="113">
        <f>E209</f>
        <v>84</v>
      </c>
      <c r="F210" s="113">
        <f>F209</f>
        <v>84</v>
      </c>
      <c r="G210" s="113">
        <f>G209</f>
        <v>85</v>
      </c>
      <c r="H210" s="113">
        <f>H209</f>
        <v>84</v>
      </c>
      <c r="I210" s="113">
        <f>I209</f>
        <v>86</v>
      </c>
      <c r="J210" s="113">
        <f>J209</f>
        <v>253</v>
      </c>
      <c r="K210" s="113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4" customHeight="1">
      <c r="A211" s="79">
        <f>A210</f>
        <v>5</v>
      </c>
      <c r="B211" s="117" t="s">
        <v>662</v>
      </c>
      <c r="C211" s="118" t="s">
        <v>70</v>
      </c>
      <c r="D211" s="119">
        <v>2007</v>
      </c>
      <c r="E211" s="79">
        <f>E210</f>
        <v>84</v>
      </c>
      <c r="F211" s="79">
        <f>F210</f>
        <v>84</v>
      </c>
      <c r="G211" s="79">
        <f>G210</f>
        <v>85</v>
      </c>
      <c r="H211" s="79">
        <f>H210</f>
        <v>84</v>
      </c>
      <c r="I211" s="79">
        <f>I210</f>
        <v>86</v>
      </c>
      <c r="J211" s="79">
        <f>J210</f>
        <v>253</v>
      </c>
      <c r="K211" s="79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4" customHeight="1">
      <c r="A212" s="76">
        <v>6</v>
      </c>
      <c r="B212" s="139" t="s">
        <v>693</v>
      </c>
      <c r="C212" s="120" t="s">
        <v>23</v>
      </c>
      <c r="D212" s="119">
        <v>2005</v>
      </c>
      <c r="E212" s="76">
        <v>84</v>
      </c>
      <c r="F212" s="76">
        <v>83</v>
      </c>
      <c r="G212" s="76">
        <v>84</v>
      </c>
      <c r="H212" s="76">
        <v>84</v>
      </c>
      <c r="I212" s="76">
        <v>85</v>
      </c>
      <c r="J212" s="76">
        <v>252</v>
      </c>
      <c r="K212" s="76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4" customHeight="1">
      <c r="A213" s="113">
        <f>A212</f>
        <v>6</v>
      </c>
      <c r="B213" s="117" t="s">
        <v>633</v>
      </c>
      <c r="C213" s="120" t="s">
        <v>23</v>
      </c>
      <c r="D213" s="119">
        <v>2003</v>
      </c>
      <c r="E213" s="113">
        <f>E212</f>
        <v>84</v>
      </c>
      <c r="F213" s="113">
        <f>F212</f>
        <v>83</v>
      </c>
      <c r="G213" s="113">
        <f>G212</f>
        <v>84</v>
      </c>
      <c r="H213" s="113">
        <f>H212</f>
        <v>84</v>
      </c>
      <c r="I213" s="113">
        <f>I212</f>
        <v>85</v>
      </c>
      <c r="J213" s="113">
        <f>J212</f>
        <v>252</v>
      </c>
      <c r="K213" s="113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4" customHeight="1">
      <c r="A214" s="113">
        <f>A213</f>
        <v>6</v>
      </c>
      <c r="B214" s="133" t="s">
        <v>635</v>
      </c>
      <c r="C214" s="120" t="s">
        <v>23</v>
      </c>
      <c r="D214" s="119">
        <v>2007</v>
      </c>
      <c r="E214" s="113">
        <f>E213</f>
        <v>84</v>
      </c>
      <c r="F214" s="113">
        <f>F213</f>
        <v>83</v>
      </c>
      <c r="G214" s="113">
        <f>G213</f>
        <v>84</v>
      </c>
      <c r="H214" s="113">
        <f>H213</f>
        <v>84</v>
      </c>
      <c r="I214" s="113">
        <f>I213</f>
        <v>85</v>
      </c>
      <c r="J214" s="113">
        <f>J213</f>
        <v>252</v>
      </c>
      <c r="K214" s="113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4" customHeight="1">
      <c r="A215" s="79">
        <f>A214</f>
        <v>6</v>
      </c>
      <c r="B215" s="133" t="s">
        <v>694</v>
      </c>
      <c r="C215" s="120" t="s">
        <v>23</v>
      </c>
      <c r="D215" s="119">
        <v>2007</v>
      </c>
      <c r="E215" s="79">
        <f>E214</f>
        <v>84</v>
      </c>
      <c r="F215" s="79">
        <f>F214</f>
        <v>83</v>
      </c>
      <c r="G215" s="79">
        <f>G214</f>
        <v>84</v>
      </c>
      <c r="H215" s="79">
        <f>H214</f>
        <v>84</v>
      </c>
      <c r="I215" s="79">
        <f>I214</f>
        <v>85</v>
      </c>
      <c r="J215" s="79">
        <f>J214</f>
        <v>252</v>
      </c>
      <c r="K215" s="79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4" customHeight="1">
      <c r="A216" s="76">
        <v>4</v>
      </c>
      <c r="B216" s="117" t="s">
        <v>588</v>
      </c>
      <c r="C216" s="118" t="s">
        <v>17</v>
      </c>
      <c r="D216" s="119">
        <v>2008</v>
      </c>
      <c r="E216" s="76">
        <v>83</v>
      </c>
      <c r="F216" s="76">
        <v>83</v>
      </c>
      <c r="G216" s="76">
        <v>83</v>
      </c>
      <c r="H216" s="76">
        <v>83</v>
      </c>
      <c r="I216" s="76">
        <v>83</v>
      </c>
      <c r="J216" s="76">
        <v>249</v>
      </c>
      <c r="K216" s="76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4" customHeight="1">
      <c r="A217" s="113">
        <f>A216</f>
        <v>4</v>
      </c>
      <c r="B217" s="117" t="s">
        <v>649</v>
      </c>
      <c r="C217" s="118" t="s">
        <v>17</v>
      </c>
      <c r="D217" s="119">
        <v>2008</v>
      </c>
      <c r="E217" s="113">
        <f>E216</f>
        <v>83</v>
      </c>
      <c r="F217" s="113">
        <f>F216</f>
        <v>83</v>
      </c>
      <c r="G217" s="113">
        <f>G216</f>
        <v>83</v>
      </c>
      <c r="H217" s="113">
        <f>H216</f>
        <v>83</v>
      </c>
      <c r="I217" s="113">
        <f>I216</f>
        <v>83</v>
      </c>
      <c r="J217" s="113">
        <f>J216</f>
        <v>249</v>
      </c>
      <c r="K217" s="113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4" customHeight="1">
      <c r="A218" s="113">
        <f>A217</f>
        <v>4</v>
      </c>
      <c r="B218" s="117" t="s">
        <v>608</v>
      </c>
      <c r="C218" s="118" t="s">
        <v>17</v>
      </c>
      <c r="D218" s="119">
        <v>2007</v>
      </c>
      <c r="E218" s="113">
        <f>E217</f>
        <v>83</v>
      </c>
      <c r="F218" s="113">
        <f>F217</f>
        <v>83</v>
      </c>
      <c r="G218" s="113">
        <f>G217</f>
        <v>83</v>
      </c>
      <c r="H218" s="113">
        <f>H217</f>
        <v>83</v>
      </c>
      <c r="I218" s="113">
        <f>I217</f>
        <v>83</v>
      </c>
      <c r="J218" s="113">
        <f>J217</f>
        <v>249</v>
      </c>
      <c r="K218" s="113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4" customHeight="1">
      <c r="A219" s="79">
        <f>A218</f>
        <v>4</v>
      </c>
      <c r="B219" s="117" t="s">
        <v>671</v>
      </c>
      <c r="C219" s="118" t="s">
        <v>17</v>
      </c>
      <c r="D219" s="119">
        <v>2007</v>
      </c>
      <c r="E219" s="79">
        <f>E218</f>
        <v>83</v>
      </c>
      <c r="F219" s="79">
        <f>F218</f>
        <v>83</v>
      </c>
      <c r="G219" s="79">
        <f>G218</f>
        <v>83</v>
      </c>
      <c r="H219" s="79">
        <f>H218</f>
        <v>83</v>
      </c>
      <c r="I219" s="79">
        <f>I218</f>
        <v>83</v>
      </c>
      <c r="J219" s="79">
        <f>J218</f>
        <v>249</v>
      </c>
      <c r="K219" s="79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45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45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>
      <c r="A222" s="114" t="s">
        <v>581</v>
      </c>
      <c r="B222" s="88"/>
      <c r="C222" s="88"/>
      <c r="D222" s="88"/>
      <c r="E222" s="88"/>
      <c r="F222" s="88"/>
      <c r="G222" s="88"/>
      <c r="H222" s="88"/>
      <c r="I222" s="88"/>
      <c r="J222" s="88"/>
      <c r="K222" s="89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45">
      <c r="A223" s="54" t="s">
        <v>453</v>
      </c>
      <c r="B223" s="54" t="s">
        <v>454</v>
      </c>
      <c r="C223" s="54" t="s">
        <v>9</v>
      </c>
      <c r="D223" s="48" t="s">
        <v>455</v>
      </c>
      <c r="E223" s="90" t="s">
        <v>456</v>
      </c>
      <c r="F223" s="91"/>
      <c r="G223" s="91"/>
      <c r="H223" s="91"/>
      <c r="I223" s="92"/>
      <c r="J223" s="48" t="s">
        <v>457</v>
      </c>
      <c r="K223" s="48" t="s">
        <v>458</v>
      </c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>
      <c r="A224" s="93"/>
      <c r="B224" s="93"/>
      <c r="C224" s="93"/>
      <c r="D224" s="93"/>
      <c r="E224" s="7">
        <v>1</v>
      </c>
      <c r="F224" s="7">
        <v>2</v>
      </c>
      <c r="G224" s="7">
        <v>3</v>
      </c>
      <c r="H224" s="7">
        <v>4</v>
      </c>
      <c r="I224" s="7">
        <v>5</v>
      </c>
      <c r="J224" s="93"/>
      <c r="K224" s="93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45">
      <c r="A225" s="94"/>
      <c r="B225" s="94"/>
      <c r="C225" s="94"/>
      <c r="D225" s="94"/>
      <c r="E225" s="95"/>
      <c r="F225" s="95"/>
      <c r="G225" s="95"/>
      <c r="H225" s="95"/>
      <c r="I225" s="95"/>
      <c r="J225" s="94"/>
      <c r="K225" s="94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4" customHeight="1">
      <c r="A226" s="76">
        <v>3</v>
      </c>
      <c r="B226" s="117" t="s">
        <v>699</v>
      </c>
      <c r="C226" s="118" t="s">
        <v>62</v>
      </c>
      <c r="D226" s="119">
        <v>2002</v>
      </c>
      <c r="E226" s="76">
        <v>87</v>
      </c>
      <c r="F226" s="76">
        <v>87</v>
      </c>
      <c r="G226" s="76">
        <v>86</v>
      </c>
      <c r="H226" s="76">
        <v>87</v>
      </c>
      <c r="I226" s="76">
        <v>85</v>
      </c>
      <c r="J226" s="76">
        <v>260</v>
      </c>
      <c r="K226" s="76" t="s">
        <v>462</v>
      </c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4" customHeight="1">
      <c r="A227" s="79"/>
      <c r="B227" s="117" t="s">
        <v>652</v>
      </c>
      <c r="C227" s="118" t="s">
        <v>62</v>
      </c>
      <c r="D227" s="119">
        <v>2003</v>
      </c>
      <c r="E227" s="79"/>
      <c r="F227" s="79">
        <f>F226</f>
        <v>87</v>
      </c>
      <c r="G227" s="79">
        <f>G226</f>
        <v>86</v>
      </c>
      <c r="H227" s="79">
        <f>H226</f>
        <v>87</v>
      </c>
      <c r="I227" s="79">
        <f>I226</f>
        <v>85</v>
      </c>
      <c r="J227" s="79">
        <f>J226</f>
        <v>260</v>
      </c>
      <c r="K227" s="79" t="str">
        <f>K226</f>
        <v>Hạng 1</v>
      </c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4" customHeight="1">
      <c r="A228" s="76">
        <v>1</v>
      </c>
      <c r="B228" s="117" t="s">
        <v>695</v>
      </c>
      <c r="C228" s="118" t="s">
        <v>44</v>
      </c>
      <c r="D228" s="119">
        <v>2008</v>
      </c>
      <c r="E228" s="76">
        <v>86</v>
      </c>
      <c r="F228" s="76">
        <v>86</v>
      </c>
      <c r="G228" s="76">
        <v>86</v>
      </c>
      <c r="H228" s="76">
        <v>86</v>
      </c>
      <c r="I228" s="76">
        <v>85</v>
      </c>
      <c r="J228" s="76">
        <v>258</v>
      </c>
      <c r="K228" s="76" t="s">
        <v>466</v>
      </c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4" customHeight="1">
      <c r="A229" s="79">
        <f>A228</f>
        <v>1</v>
      </c>
      <c r="B229" s="117" t="s">
        <v>696</v>
      </c>
      <c r="C229" s="118" t="s">
        <v>44</v>
      </c>
      <c r="D229" s="119">
        <v>2007</v>
      </c>
      <c r="E229" s="79">
        <f>E228</f>
        <v>86</v>
      </c>
      <c r="F229" s="79">
        <f>F228</f>
        <v>86</v>
      </c>
      <c r="G229" s="79">
        <f>G228</f>
        <v>86</v>
      </c>
      <c r="H229" s="79">
        <f>H228</f>
        <v>86</v>
      </c>
      <c r="I229" s="79">
        <f>I228</f>
        <v>85</v>
      </c>
      <c r="J229" s="79">
        <f>J228</f>
        <v>258</v>
      </c>
      <c r="K229" s="79" t="str">
        <f>K228</f>
        <v>Hạng 2</v>
      </c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4" customHeight="1">
      <c r="A230" s="76">
        <v>7</v>
      </c>
      <c r="B230" s="117" t="s">
        <v>702</v>
      </c>
      <c r="C230" s="118" t="s">
        <v>326</v>
      </c>
      <c r="D230" s="119">
        <v>1997</v>
      </c>
      <c r="E230" s="76">
        <v>85</v>
      </c>
      <c r="F230" s="76">
        <v>84</v>
      </c>
      <c r="G230" s="76">
        <v>85</v>
      </c>
      <c r="H230" s="76">
        <v>83</v>
      </c>
      <c r="I230" s="76">
        <v>84</v>
      </c>
      <c r="J230" s="76">
        <v>253</v>
      </c>
      <c r="K230" s="76" t="s">
        <v>460</v>
      </c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4" customHeight="1">
      <c r="A231" s="79">
        <f>A230</f>
        <v>7</v>
      </c>
      <c r="B231" s="117" t="s">
        <v>703</v>
      </c>
      <c r="C231" s="118" t="s">
        <v>326</v>
      </c>
      <c r="D231" s="119">
        <v>2003</v>
      </c>
      <c r="E231" s="79">
        <f>E230</f>
        <v>85</v>
      </c>
      <c r="F231" s="79">
        <f>F230</f>
        <v>84</v>
      </c>
      <c r="G231" s="79">
        <f>G230</f>
        <v>85</v>
      </c>
      <c r="H231" s="79">
        <f>H230</f>
        <v>83</v>
      </c>
      <c r="I231" s="79">
        <f>I230</f>
        <v>84</v>
      </c>
      <c r="J231" s="79">
        <f>J230</f>
        <v>253</v>
      </c>
      <c r="K231" s="79" t="str">
        <f>K230</f>
        <v>Hạng 3</v>
      </c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4" customHeight="1">
      <c r="A232" s="76">
        <v>5</v>
      </c>
      <c r="B232" s="152" t="s">
        <v>669</v>
      </c>
      <c r="C232" s="142" t="s">
        <v>51</v>
      </c>
      <c r="D232" s="153">
        <v>2008</v>
      </c>
      <c r="E232" s="76">
        <v>84</v>
      </c>
      <c r="F232" s="76">
        <v>85</v>
      </c>
      <c r="G232" s="76">
        <v>84</v>
      </c>
      <c r="H232" s="76">
        <v>84</v>
      </c>
      <c r="I232" s="76">
        <v>84</v>
      </c>
      <c r="J232" s="76">
        <v>252</v>
      </c>
      <c r="K232" s="76" t="s">
        <v>460</v>
      </c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4" customHeight="1">
      <c r="A233" s="79">
        <f>A232</f>
        <v>5</v>
      </c>
      <c r="B233" s="129" t="s">
        <v>628</v>
      </c>
      <c r="C233" s="118" t="s">
        <v>51</v>
      </c>
      <c r="D233" s="121">
        <v>2006</v>
      </c>
      <c r="E233" s="79">
        <f>E232</f>
        <v>84</v>
      </c>
      <c r="F233" s="79">
        <f>F232</f>
        <v>85</v>
      </c>
      <c r="G233" s="79">
        <f>G232</f>
        <v>84</v>
      </c>
      <c r="H233" s="79">
        <f>H232</f>
        <v>84</v>
      </c>
      <c r="I233" s="79">
        <f>I232</f>
        <v>84</v>
      </c>
      <c r="J233" s="79">
        <f>J232</f>
        <v>252</v>
      </c>
      <c r="K233" s="79" t="str">
        <f>K232</f>
        <v>Hạng 3</v>
      </c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4" customHeight="1">
      <c r="A234" s="76">
        <v>2</v>
      </c>
      <c r="B234" s="117" t="s">
        <v>697</v>
      </c>
      <c r="C234" s="118" t="s">
        <v>15</v>
      </c>
      <c r="D234" s="119">
        <v>2007</v>
      </c>
      <c r="E234" s="76">
        <v>83</v>
      </c>
      <c r="F234" s="76">
        <v>84</v>
      </c>
      <c r="G234" s="76">
        <v>83</v>
      </c>
      <c r="H234" s="76">
        <v>83</v>
      </c>
      <c r="I234" s="76">
        <v>83</v>
      </c>
      <c r="J234" s="76">
        <v>249</v>
      </c>
      <c r="K234" s="76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4" customHeight="1">
      <c r="A235" s="79">
        <f>A234</f>
        <v>2</v>
      </c>
      <c r="B235" s="117" t="s">
        <v>698</v>
      </c>
      <c r="C235" s="118" t="s">
        <v>15</v>
      </c>
      <c r="D235" s="119">
        <v>2003</v>
      </c>
      <c r="E235" s="79">
        <f>E234</f>
        <v>83</v>
      </c>
      <c r="F235" s="79">
        <f>F234</f>
        <v>84</v>
      </c>
      <c r="G235" s="79">
        <f>G234</f>
        <v>83</v>
      </c>
      <c r="H235" s="79">
        <f>H234</f>
        <v>83</v>
      </c>
      <c r="I235" s="79">
        <f>I234</f>
        <v>83</v>
      </c>
      <c r="J235" s="79">
        <f>J234</f>
        <v>249</v>
      </c>
      <c r="K235" s="79">
        <f>K234</f>
        <v>0</v>
      </c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4" customHeight="1">
      <c r="A236" s="76">
        <v>6</v>
      </c>
      <c r="B236" s="117" t="s">
        <v>671</v>
      </c>
      <c r="C236" s="120" t="s">
        <v>17</v>
      </c>
      <c r="D236" s="119">
        <v>2007</v>
      </c>
      <c r="E236" s="76">
        <v>83</v>
      </c>
      <c r="F236" s="76">
        <v>83</v>
      </c>
      <c r="G236" s="76">
        <v>83</v>
      </c>
      <c r="H236" s="76">
        <v>83</v>
      </c>
      <c r="I236" s="76">
        <v>82</v>
      </c>
      <c r="J236" s="76">
        <v>249</v>
      </c>
      <c r="K236" s="76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4" customHeight="1">
      <c r="A237" s="79">
        <f>A236</f>
        <v>6</v>
      </c>
      <c r="B237" s="117" t="s">
        <v>609</v>
      </c>
      <c r="C237" s="120" t="s">
        <v>17</v>
      </c>
      <c r="D237" s="119">
        <v>2007</v>
      </c>
      <c r="E237" s="79">
        <f>E236</f>
        <v>83</v>
      </c>
      <c r="F237" s="79">
        <f>F236</f>
        <v>83</v>
      </c>
      <c r="G237" s="79">
        <f>G236</f>
        <v>83</v>
      </c>
      <c r="H237" s="79">
        <f>H236</f>
        <v>83</v>
      </c>
      <c r="I237" s="79">
        <f>I236</f>
        <v>82</v>
      </c>
      <c r="J237" s="79">
        <f>J236</f>
        <v>249</v>
      </c>
      <c r="K237" s="79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4" customHeight="1">
      <c r="A238" s="76">
        <v>8</v>
      </c>
      <c r="B238" s="129" t="s">
        <v>704</v>
      </c>
      <c r="C238" s="120" t="s">
        <v>88</v>
      </c>
      <c r="D238" s="121">
        <v>2007</v>
      </c>
      <c r="E238" s="76">
        <v>82</v>
      </c>
      <c r="F238" s="76">
        <v>83</v>
      </c>
      <c r="G238" s="76">
        <v>83</v>
      </c>
      <c r="H238" s="76">
        <v>84</v>
      </c>
      <c r="I238" s="76">
        <v>83</v>
      </c>
      <c r="J238" s="76">
        <v>248</v>
      </c>
      <c r="K238" s="76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4" customHeight="1">
      <c r="A239" s="79">
        <f>A238</f>
        <v>8</v>
      </c>
      <c r="B239" s="117" t="s">
        <v>705</v>
      </c>
      <c r="C239" s="120" t="s">
        <v>88</v>
      </c>
      <c r="D239" s="119">
        <v>2007</v>
      </c>
      <c r="E239" s="79">
        <f>E238</f>
        <v>82</v>
      </c>
      <c r="F239" s="79">
        <f>F238</f>
        <v>83</v>
      </c>
      <c r="G239" s="79">
        <f>G238</f>
        <v>83</v>
      </c>
      <c r="H239" s="79">
        <f>H238</f>
        <v>84</v>
      </c>
      <c r="I239" s="79">
        <f>I238</f>
        <v>83</v>
      </c>
      <c r="J239" s="79">
        <f>J238</f>
        <v>248</v>
      </c>
      <c r="K239" s="79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4" customHeight="1">
      <c r="A240" s="76">
        <v>4</v>
      </c>
      <c r="B240" s="130" t="s">
        <v>700</v>
      </c>
      <c r="C240" s="141" t="s">
        <v>168</v>
      </c>
      <c r="D240" s="131">
        <v>2008</v>
      </c>
      <c r="E240" s="76">
        <v>81</v>
      </c>
      <c r="F240" s="76">
        <v>83</v>
      </c>
      <c r="G240" s="76">
        <v>82</v>
      </c>
      <c r="H240" s="76">
        <v>82</v>
      </c>
      <c r="I240" s="76">
        <v>82</v>
      </c>
      <c r="J240" s="76">
        <v>246</v>
      </c>
      <c r="K240" s="76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4" customHeight="1">
      <c r="A241" s="79">
        <f>A240</f>
        <v>4</v>
      </c>
      <c r="B241" s="117" t="s">
        <v>701</v>
      </c>
      <c r="C241" s="120" t="s">
        <v>168</v>
      </c>
      <c r="D241" s="119">
        <v>2003</v>
      </c>
      <c r="E241" s="79">
        <f>E240</f>
        <v>81</v>
      </c>
      <c r="F241" s="79">
        <f>F240</f>
        <v>83</v>
      </c>
      <c r="G241" s="79">
        <f>G240</f>
        <v>82</v>
      </c>
      <c r="H241" s="79">
        <f>H240</f>
        <v>82</v>
      </c>
      <c r="I241" s="79">
        <f>I240</f>
        <v>82</v>
      </c>
      <c r="J241" s="79">
        <f>J240</f>
        <v>246</v>
      </c>
      <c r="K241" s="79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4" customHeight="1">
      <c r="A242" s="154">
        <v>9</v>
      </c>
      <c r="B242" s="126" t="s">
        <v>706</v>
      </c>
      <c r="C242" s="140" t="s">
        <v>48</v>
      </c>
      <c r="D242" s="128">
        <v>2007</v>
      </c>
      <c r="E242" s="154"/>
      <c r="F242" s="154"/>
      <c r="G242" s="154"/>
      <c r="H242" s="154"/>
      <c r="I242" s="154"/>
      <c r="J242" s="154"/>
      <c r="K242" s="154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4" customHeight="1">
      <c r="A243" s="155">
        <f>A242</f>
        <v>9</v>
      </c>
      <c r="B243" s="126" t="s">
        <v>707</v>
      </c>
      <c r="C243" s="140" t="s">
        <v>48</v>
      </c>
      <c r="D243" s="128">
        <v>2008</v>
      </c>
      <c r="E243" s="155"/>
      <c r="F243" s="155"/>
      <c r="G243" s="155"/>
      <c r="H243" s="155"/>
      <c r="I243" s="155"/>
      <c r="J243" s="155"/>
      <c r="K243" s="155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3.45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3.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3.45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3.45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3.45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3.45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3.45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3.45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3.45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3.45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3.45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3.4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3.45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3.45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3.45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3.45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3.45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3.45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3.45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3.45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3.45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3.4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3.45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3.45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3.45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3.45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3.45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3.45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3.45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3.45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3.45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3.4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3.45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3.45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3.45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3.45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3.45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3.45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3.45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3.45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3.45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3.4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3.45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3.45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3.45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3.45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3.45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3.45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3.45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3.45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3.45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3.4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3.45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3.45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3.45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3.45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3.45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3.45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3.45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3.45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3.45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3.4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3.45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3.45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3.45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3.45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3.45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3.45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3.45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3.45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3.45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3.4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3.45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3.45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3.45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3.45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3.45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3.45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3.45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3.45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3.45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3.4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3.45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3.45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3.45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3.45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3.45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3.45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3.45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3.45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3.45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3.4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3.45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3.45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3.45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3.45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3.45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3.45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3.45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3.45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3.45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3.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3.45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3.45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3.45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3.45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3.45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3.45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3.45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3.45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3.45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3.4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3.45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3.45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3.45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3.45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3.45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3.45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3.45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3.45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3.45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3.4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3.45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3.45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3.45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3.45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3.45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3.45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3.45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3.45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3.45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3.4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3.45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3.45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3.45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3.45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3.45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3.45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3.45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3.45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3.45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3.4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3.45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3.45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3.45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3.45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3.45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3.45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3.45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3.45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3.45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3.4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3.45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3.45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3.45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3.45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3.45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3.45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3.45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3.45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3.45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3.4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3.45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3.45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3.45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3.45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3.45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3.45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3.45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3.45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3.45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3.4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3.45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3.45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3.45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3.45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3.45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3.45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3.45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3.45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3.45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3.4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3.45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3.45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3.45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3.45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3.45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3.45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3.45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3.45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3.45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3.4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3.45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3.45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3.45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3.45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3.45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3.45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3.45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3.45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3.45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3.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3.45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3.45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3.45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3.45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3.45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3.45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3.45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3.45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3.45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3.4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3.45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3.45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3.45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3.45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3.45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3.45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3.45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3.45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3.45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3.4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3.45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3.45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3.45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3.45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3.45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3.45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3.45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3.45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3.45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3.4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3.45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3.45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3.45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3.45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3.45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3.45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3.45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3.45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3.45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3.4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3.45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3.45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3.45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3.45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3.45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3.45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3.45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3.45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3.45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3.4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3.45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3.45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3.45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3.45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3.45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3.45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3.45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3.45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3.45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3.4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3.45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3.45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3.45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3.45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3.45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3.45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3.45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3.45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3.45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3.4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3.45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3.45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3.45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3.45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3.45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3.45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3.45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3.45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3.45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3.4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3.45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3.45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3.45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3.45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3.45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3.45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3.45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3.45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3.45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3.4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3.45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3.45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3.45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3.45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3.45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3.45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3.45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3.45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3.45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3.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3.45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3.45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3.45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3.45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3.45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3.45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3.45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3.45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3.45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3.4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3.45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3.45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3.45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3.45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3.45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3.45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3.45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3.45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3.45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3.4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3.45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3.45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3.45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3.45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3.45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3.45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3.45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3.45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3.45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3.4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3.45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3.45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3.45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3.45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3.45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3.45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3.45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3.45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3.45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3.4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3.45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3.45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3.45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3.45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3.45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3.45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3.45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3.45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3.45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3.4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3.45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3.45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3.45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3.45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3.45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3.45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3.45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3.45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3.45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3.4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3.45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3.45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3.45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3.45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3.45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3.45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3.45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3.45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3.45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3.4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3.45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3.45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3.45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3.45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3.45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3.45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3.45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3.45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3.45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3.4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3.45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3.45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3.45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3.45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3.45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3.45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3.45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3.45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3.45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3.4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3.45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3.45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3.45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3.45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3.45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3.45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3.45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3.45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3.45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3.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3.45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3.45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3.45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3.45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3.45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3.45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3.45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3.45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3.45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3.4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3.45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3.45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3.45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3.45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3.45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3.45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3.45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3.45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3.45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3.4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3.45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3.45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3.45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3.45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3.45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3.45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3.45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3.45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3.45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3.4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3.45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3.45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3.45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3.45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3.45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3.45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3.45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3.45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3.45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3.4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3.45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3.45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3.45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3.45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3.45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3.45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3.45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3.45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3.45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3.4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3.45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3.45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3.45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3.45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3.45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3.45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3.45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3.45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3.45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3.4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3.45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3.45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3.45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3.45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3.45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3.45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3.45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3.45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3.45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3.4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3.45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3.45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3.45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3.45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3.45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3.45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3.45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3.45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3.45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3.4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3.45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3.45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3.45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3.45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3.45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3.45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3.45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3.45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3.45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3.4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3.45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3.45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3.45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3.45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3.45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3.45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3.45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3.45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3.45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3.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3.45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3.45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3.45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3.45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3.45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3.45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3.45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3.45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3.45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3.4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3.45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3.45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3.45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3.45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3.45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3.45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3.45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3.45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3.45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3.4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3.45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3.45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3.45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3.45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3.45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3.45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3.45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3.45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3.45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3.4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3.45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3.45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3.45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3.45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3.45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3.45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3.45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3.45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3.45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3.4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3.45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3.45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3.45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3.45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3.45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3.45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3.45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3.45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3.45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3.4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3.45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3.45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3.45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3.45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3.45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3.45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3.45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3.45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3.45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3.4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3.45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3.45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3.45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3.45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3.45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3.45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3.45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3.45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3.45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3.4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3.45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3.45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3.45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3.45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3.45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3.45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3.45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3.45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3.45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3.4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3.45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3.45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3.45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3.45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3.45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3.45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3.45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3.45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3.45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3.4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3.45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3.45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3.45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3.45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3.45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3.45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3.45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3.45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3.45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3.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3.45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3.45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3.45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3.45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3.45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3.45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3.45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3.45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3.45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3.4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3.45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3.45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3.45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3.45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3.45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3.45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3.45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3.45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3.45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3.4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3.45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3.45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3.45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3.45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3.45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3.45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3.45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3.45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3.45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3.4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3.45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3.45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3.45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3.45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3.45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3.45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3.45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3.45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3.45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3.4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3.45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3.45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3.45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3.45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3.45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3.45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3.45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3.45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3.45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3.4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3.45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3.45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3.45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3.45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3.45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3.45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3.45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3.45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3.45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3.4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3.45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3.45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3.45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3.45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3.45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3.45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3.45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3.45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3.45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3.4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3.45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3.45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3.45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3.45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3.45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3.45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3.45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3.45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3.45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3.4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3.45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3.45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3.45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3.45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3.45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3.45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3.45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3.45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3.45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3.4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3.45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3.45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3.45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3.45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3.45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3.45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3.45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3.45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3.45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3.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3.45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3.45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3.45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3.45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3.45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3.45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3.45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3.45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3.45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3.4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3.45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3.45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3.45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3.45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3.45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3.45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3.45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3.45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3.45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3.4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3.45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3.45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3.45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3.45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3.45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3.45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3.45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3.45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3.45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3.4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3.45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3.45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3.45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3.45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3.45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3.45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3.45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3.45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3.45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3.4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3.45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3.45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3.45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3.45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3.45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3.45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3.45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3.45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3.45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3.4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3.45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3.45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3.45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3.45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3.45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  <row r="1001" spans="1:26" ht="13.45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</row>
    <row r="1002" spans="1:26" ht="13.45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</row>
    <row r="1003" spans="1:26" ht="13.45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</row>
    <row r="1004" spans="1:26" ht="13.45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</row>
    <row r="1005" spans="1:26" ht="13.4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</row>
    <row r="1006" spans="1:26" ht="13.45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</row>
    <row r="1007" spans="1:26" ht="13.45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</row>
    <row r="1008" spans="1:26" ht="13.45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</row>
    <row r="1009" spans="1:26" ht="13.45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</row>
    <row r="1010" spans="1:26" ht="13.45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  <c r="W1010" s="98"/>
      <c r="X1010" s="98"/>
      <c r="Y1010" s="98"/>
      <c r="Z1010" s="98"/>
    </row>
  </sheetData>
  <sortState ref="A226:K243">
    <sortCondition descending="1" ref="J226:J243"/>
  </sortState>
  <mergeCells count="555">
    <mergeCell ref="M192:M195"/>
    <mergeCell ref="N192:N195"/>
    <mergeCell ref="O192:O195"/>
    <mergeCell ref="P192:P195"/>
    <mergeCell ref="Q192:Q195"/>
    <mergeCell ref="R192:R195"/>
    <mergeCell ref="A226:A227"/>
    <mergeCell ref="A228:A229"/>
    <mergeCell ref="A238:A239"/>
    <mergeCell ref="E226:E227"/>
    <mergeCell ref="F226:F227"/>
    <mergeCell ref="G226:G227"/>
    <mergeCell ref="F230:F231"/>
    <mergeCell ref="G230:G231"/>
    <mergeCell ref="H230:H231"/>
    <mergeCell ref="I230:I231"/>
    <mergeCell ref="J230:J231"/>
    <mergeCell ref="F238:F239"/>
    <mergeCell ref="G238:G239"/>
    <mergeCell ref="H238:H239"/>
    <mergeCell ref="I238:I239"/>
    <mergeCell ref="J238:J239"/>
    <mergeCell ref="S66:S69"/>
    <mergeCell ref="M70:M73"/>
    <mergeCell ref="N70:N73"/>
    <mergeCell ref="O70:O73"/>
    <mergeCell ref="P70:P73"/>
    <mergeCell ref="Q70:Q73"/>
    <mergeCell ref="R70:R73"/>
    <mergeCell ref="S70:S73"/>
    <mergeCell ref="M66:M69"/>
    <mergeCell ref="N66:N69"/>
    <mergeCell ref="O66:O69"/>
    <mergeCell ref="P66:P69"/>
    <mergeCell ref="Q66:Q69"/>
    <mergeCell ref="R66:R69"/>
    <mergeCell ref="J41:J43"/>
    <mergeCell ref="K41:K43"/>
    <mergeCell ref="E44:E46"/>
    <mergeCell ref="E47:E49"/>
    <mergeCell ref="F47:F49"/>
    <mergeCell ref="G47:G49"/>
    <mergeCell ref="A41:A43"/>
    <mergeCell ref="A44:A46"/>
    <mergeCell ref="F44:F46"/>
    <mergeCell ref="G44:G46"/>
    <mergeCell ref="H44:H46"/>
    <mergeCell ref="I44:I46"/>
    <mergeCell ref="A47:A49"/>
    <mergeCell ref="H41:H43"/>
    <mergeCell ref="I41:I43"/>
    <mergeCell ref="E50:E52"/>
    <mergeCell ref="F50:F52"/>
    <mergeCell ref="G50:G52"/>
    <mergeCell ref="H50:H52"/>
    <mergeCell ref="I50:I52"/>
    <mergeCell ref="J50:J52"/>
    <mergeCell ref="K50:K52"/>
    <mergeCell ref="J44:J46"/>
    <mergeCell ref="K44:K46"/>
    <mergeCell ref="H47:H49"/>
    <mergeCell ref="I47:I49"/>
    <mergeCell ref="J47:J49"/>
    <mergeCell ref="K47:K49"/>
    <mergeCell ref="J62:J65"/>
    <mergeCell ref="A66:A69"/>
    <mergeCell ref="E66:E69"/>
    <mergeCell ref="F66:F69"/>
    <mergeCell ref="G66:G69"/>
    <mergeCell ref="H66:H69"/>
    <mergeCell ref="I66:I69"/>
    <mergeCell ref="J66:J69"/>
    <mergeCell ref="A58:K58"/>
    <mergeCell ref="E59:I59"/>
    <mergeCell ref="J59:J61"/>
    <mergeCell ref="K59:K61"/>
    <mergeCell ref="K66:K69"/>
    <mergeCell ref="A50:A52"/>
    <mergeCell ref="A53:A55"/>
    <mergeCell ref="A59:A61"/>
    <mergeCell ref="B59:B61"/>
    <mergeCell ref="C59:C61"/>
    <mergeCell ref="D59:D61"/>
    <mergeCell ref="A62:A65"/>
    <mergeCell ref="A70:A73"/>
    <mergeCell ref="J70:J73"/>
    <mergeCell ref="K70:K73"/>
    <mergeCell ref="E53:E55"/>
    <mergeCell ref="E62:E65"/>
    <mergeCell ref="F62:F65"/>
    <mergeCell ref="G62:G65"/>
    <mergeCell ref="H62:H65"/>
    <mergeCell ref="K53:K55"/>
    <mergeCell ref="K62:K65"/>
    <mergeCell ref="F53:F55"/>
    <mergeCell ref="G53:G55"/>
    <mergeCell ref="H53:H55"/>
    <mergeCell ref="I53:I55"/>
    <mergeCell ref="J53:J55"/>
    <mergeCell ref="I62:I65"/>
    <mergeCell ref="A74:A77"/>
    <mergeCell ref="A78:A81"/>
    <mergeCell ref="A82:A85"/>
    <mergeCell ref="A86:A89"/>
    <mergeCell ref="E70:E73"/>
    <mergeCell ref="F70:F73"/>
    <mergeCell ref="G70:G73"/>
    <mergeCell ref="H70:H73"/>
    <mergeCell ref="I70:I73"/>
    <mergeCell ref="E82:E85"/>
    <mergeCell ref="F82:F85"/>
    <mergeCell ref="G82:G85"/>
    <mergeCell ref="H82:H85"/>
    <mergeCell ref="I82:I85"/>
    <mergeCell ref="E74:E77"/>
    <mergeCell ref="F74:F77"/>
    <mergeCell ref="G74:G77"/>
    <mergeCell ref="H74:H77"/>
    <mergeCell ref="I74:I77"/>
    <mergeCell ref="J74:J77"/>
    <mergeCell ref="K74:K77"/>
    <mergeCell ref="E78:E81"/>
    <mergeCell ref="F78:F81"/>
    <mergeCell ref="G78:G81"/>
    <mergeCell ref="H78:H81"/>
    <mergeCell ref="I78:I81"/>
    <mergeCell ref="J78:J81"/>
    <mergeCell ref="K78:K81"/>
    <mergeCell ref="E21:E22"/>
    <mergeCell ref="F23:F24"/>
    <mergeCell ref="G23:G24"/>
    <mergeCell ref="H23:H24"/>
    <mergeCell ref="I23:I24"/>
    <mergeCell ref="J23:J24"/>
    <mergeCell ref="K23:K24"/>
    <mergeCell ref="E23:E24"/>
    <mergeCell ref="F25:F26"/>
    <mergeCell ref="G25:G26"/>
    <mergeCell ref="H25:H26"/>
    <mergeCell ref="I25:I26"/>
    <mergeCell ref="J25:J26"/>
    <mergeCell ref="K25:K26"/>
    <mergeCell ref="E25:E26"/>
    <mergeCell ref="F27:F28"/>
    <mergeCell ref="G27:G28"/>
    <mergeCell ref="H27:H28"/>
    <mergeCell ref="E41:E43"/>
    <mergeCell ref="F41:F43"/>
    <mergeCell ref="G41:G43"/>
    <mergeCell ref="J4:J6"/>
    <mergeCell ref="K4:K6"/>
    <mergeCell ref="F31:F32"/>
    <mergeCell ref="G31:G32"/>
    <mergeCell ref="H31:H32"/>
    <mergeCell ref="I31:I32"/>
    <mergeCell ref="J31:J32"/>
    <mergeCell ref="K31:K32"/>
    <mergeCell ref="E31:E32"/>
    <mergeCell ref="E33:E34"/>
    <mergeCell ref="F33:F34"/>
    <mergeCell ref="G33:G34"/>
    <mergeCell ref="H33:H34"/>
    <mergeCell ref="I33:I34"/>
    <mergeCell ref="J33:J34"/>
    <mergeCell ref="I27:I28"/>
    <mergeCell ref="J27:J28"/>
    <mergeCell ref="K27:K28"/>
    <mergeCell ref="E27:E28"/>
    <mergeCell ref="F29:F30"/>
    <mergeCell ref="G29:G30"/>
    <mergeCell ref="A1:K1"/>
    <mergeCell ref="A3:K3"/>
    <mergeCell ref="B4:B6"/>
    <mergeCell ref="C4:C6"/>
    <mergeCell ref="D4:D6"/>
    <mergeCell ref="E4:I4"/>
    <mergeCell ref="A17:K17"/>
    <mergeCell ref="I21:I22"/>
    <mergeCell ref="J21:J22"/>
    <mergeCell ref="E18:I18"/>
    <mergeCell ref="J18:J20"/>
    <mergeCell ref="K18:K20"/>
    <mergeCell ref="F21:F22"/>
    <mergeCell ref="G21:G22"/>
    <mergeCell ref="H21:H22"/>
    <mergeCell ref="K21:K22"/>
    <mergeCell ref="A4:A6"/>
    <mergeCell ref="A18:A20"/>
    <mergeCell ref="B18:B20"/>
    <mergeCell ref="C18:C20"/>
    <mergeCell ref="D18:D20"/>
    <mergeCell ref="A21:A22"/>
    <mergeCell ref="A23:A24"/>
    <mergeCell ref="K33:K34"/>
    <mergeCell ref="A37:K37"/>
    <mergeCell ref="E38:I38"/>
    <mergeCell ref="A25:A26"/>
    <mergeCell ref="A27:A28"/>
    <mergeCell ref="A29:A30"/>
    <mergeCell ref="A31:A32"/>
    <mergeCell ref="A33:A34"/>
    <mergeCell ref="A38:A40"/>
    <mergeCell ref="B38:B40"/>
    <mergeCell ref="C38:C40"/>
    <mergeCell ref="D38:D40"/>
    <mergeCell ref="J38:J40"/>
    <mergeCell ref="K38:K40"/>
    <mergeCell ref="H29:H30"/>
    <mergeCell ref="I29:I30"/>
    <mergeCell ref="J29:J30"/>
    <mergeCell ref="K29:K30"/>
    <mergeCell ref="E29:E30"/>
    <mergeCell ref="A92:K92"/>
    <mergeCell ref="B93:B95"/>
    <mergeCell ref="C93:C95"/>
    <mergeCell ref="D93:D95"/>
    <mergeCell ref="E93:I93"/>
    <mergeCell ref="J93:J95"/>
    <mergeCell ref="K93:K95"/>
    <mergeCell ref="A93:A95"/>
    <mergeCell ref="A96:A99"/>
    <mergeCell ref="F96:F99"/>
    <mergeCell ref="G96:G99"/>
    <mergeCell ref="H96:H99"/>
    <mergeCell ref="I96:I99"/>
    <mergeCell ref="E96:E99"/>
    <mergeCell ref="E100:E103"/>
    <mergeCell ref="E108:E111"/>
    <mergeCell ref="E112:E115"/>
    <mergeCell ref="F112:F115"/>
    <mergeCell ref="G112:G115"/>
    <mergeCell ref="H112:H115"/>
    <mergeCell ref="K108:K111"/>
    <mergeCell ref="K112:K115"/>
    <mergeCell ref="F100:F103"/>
    <mergeCell ref="G100:G103"/>
    <mergeCell ref="F108:F111"/>
    <mergeCell ref="G108:G111"/>
    <mergeCell ref="H108:H111"/>
    <mergeCell ref="I108:I111"/>
    <mergeCell ref="J108:J111"/>
    <mergeCell ref="I112:I115"/>
    <mergeCell ref="J112:J115"/>
    <mergeCell ref="J96:J99"/>
    <mergeCell ref="K96:K99"/>
    <mergeCell ref="H100:H103"/>
    <mergeCell ref="I100:I103"/>
    <mergeCell ref="J100:J103"/>
    <mergeCell ref="A135:K135"/>
    <mergeCell ref="E136:I136"/>
    <mergeCell ref="G139:G141"/>
    <mergeCell ref="H139:H141"/>
    <mergeCell ref="I139:I141"/>
    <mergeCell ref="J139:J141"/>
    <mergeCell ref="A136:A138"/>
    <mergeCell ref="B136:B138"/>
    <mergeCell ref="C136:C138"/>
    <mergeCell ref="D136:D138"/>
    <mergeCell ref="J136:J138"/>
    <mergeCell ref="K136:K138"/>
    <mergeCell ref="A139:A141"/>
    <mergeCell ref="K139:K141"/>
    <mergeCell ref="E139:E141"/>
    <mergeCell ref="F139:F141"/>
    <mergeCell ref="J82:J85"/>
    <mergeCell ref="K82:K85"/>
    <mergeCell ref="E86:E89"/>
    <mergeCell ref="F86:F89"/>
    <mergeCell ref="G86:G89"/>
    <mergeCell ref="H86:H89"/>
    <mergeCell ref="I86:I89"/>
    <mergeCell ref="J86:J89"/>
    <mergeCell ref="K86:K89"/>
    <mergeCell ref="K100:K103"/>
    <mergeCell ref="A104:A107"/>
    <mergeCell ref="A108:A111"/>
    <mergeCell ref="A112:A115"/>
    <mergeCell ref="A119:A121"/>
    <mergeCell ref="B119:B121"/>
    <mergeCell ref="C119:C121"/>
    <mergeCell ref="D119:D121"/>
    <mergeCell ref="E104:E107"/>
    <mergeCell ref="F104:F107"/>
    <mergeCell ref="G104:G107"/>
    <mergeCell ref="H104:H107"/>
    <mergeCell ref="I104:I107"/>
    <mergeCell ref="J104:J107"/>
    <mergeCell ref="K104:K107"/>
    <mergeCell ref="A118:K118"/>
    <mergeCell ref="E119:I119"/>
    <mergeCell ref="J119:J121"/>
    <mergeCell ref="K119:K121"/>
    <mergeCell ref="A100:A103"/>
    <mergeCell ref="E157:E159"/>
    <mergeCell ref="F157:F159"/>
    <mergeCell ref="G157:G159"/>
    <mergeCell ref="H157:H159"/>
    <mergeCell ref="I157:I159"/>
    <mergeCell ref="J157:J159"/>
    <mergeCell ref="K157:K159"/>
    <mergeCell ref="E151:E153"/>
    <mergeCell ref="F151:F153"/>
    <mergeCell ref="G151:G153"/>
    <mergeCell ref="H151:H153"/>
    <mergeCell ref="I151:I153"/>
    <mergeCell ref="J151:J153"/>
    <mergeCell ref="K151:K153"/>
    <mergeCell ref="E154:E156"/>
    <mergeCell ref="F154:F156"/>
    <mergeCell ref="G154:G156"/>
    <mergeCell ref="H154:H156"/>
    <mergeCell ref="I154:I156"/>
    <mergeCell ref="J154:J156"/>
    <mergeCell ref="K154:K156"/>
    <mergeCell ref="E160:E162"/>
    <mergeCell ref="F160:F162"/>
    <mergeCell ref="G160:G162"/>
    <mergeCell ref="H160:H162"/>
    <mergeCell ref="I160:I162"/>
    <mergeCell ref="J160:J162"/>
    <mergeCell ref="K160:K162"/>
    <mergeCell ref="A166:K166"/>
    <mergeCell ref="E167:I167"/>
    <mergeCell ref="B167:B169"/>
    <mergeCell ref="C167:C169"/>
    <mergeCell ref="D167:D169"/>
    <mergeCell ref="J167:J169"/>
    <mergeCell ref="K167:K169"/>
    <mergeCell ref="B223:B225"/>
    <mergeCell ref="C223:C225"/>
    <mergeCell ref="D223:D225"/>
    <mergeCell ref="E170:E171"/>
    <mergeCell ref="F170:F171"/>
    <mergeCell ref="K170:K171"/>
    <mergeCell ref="F174:F175"/>
    <mergeCell ref="G174:G175"/>
    <mergeCell ref="G170:G171"/>
    <mergeCell ref="H170:H171"/>
    <mergeCell ref="E172:E173"/>
    <mergeCell ref="F172:F173"/>
    <mergeCell ref="G172:G173"/>
    <mergeCell ref="H172:H173"/>
    <mergeCell ref="E174:E175"/>
    <mergeCell ref="H174:H175"/>
    <mergeCell ref="K230:K231"/>
    <mergeCell ref="E232:E233"/>
    <mergeCell ref="F232:F233"/>
    <mergeCell ref="G232:G233"/>
    <mergeCell ref="H232:H233"/>
    <mergeCell ref="I232:I233"/>
    <mergeCell ref="J232:J233"/>
    <mergeCell ref="K232:K233"/>
    <mergeCell ref="A242:A243"/>
    <mergeCell ref="A230:A231"/>
    <mergeCell ref="A232:A233"/>
    <mergeCell ref="A234:A235"/>
    <mergeCell ref="A236:A237"/>
    <mergeCell ref="E230:E231"/>
    <mergeCell ref="E234:E235"/>
    <mergeCell ref="E238:E239"/>
    <mergeCell ref="E242:E243"/>
    <mergeCell ref="A240:A241"/>
    <mergeCell ref="K238:K239"/>
    <mergeCell ref="E240:E241"/>
    <mergeCell ref="F240:F241"/>
    <mergeCell ref="G240:G241"/>
    <mergeCell ref="H240:H241"/>
    <mergeCell ref="I240:I241"/>
    <mergeCell ref="J240:J241"/>
    <mergeCell ref="K240:K241"/>
    <mergeCell ref="F234:F235"/>
    <mergeCell ref="G234:G235"/>
    <mergeCell ref="H234:H235"/>
    <mergeCell ref="I234:I235"/>
    <mergeCell ref="J234:J235"/>
    <mergeCell ref="K234:K235"/>
    <mergeCell ref="E236:E237"/>
    <mergeCell ref="F236:F237"/>
    <mergeCell ref="G236:G237"/>
    <mergeCell ref="H236:H237"/>
    <mergeCell ref="I236:I237"/>
    <mergeCell ref="J236:J237"/>
    <mergeCell ref="K236:K237"/>
    <mergeCell ref="A196:A199"/>
    <mergeCell ref="F196:F199"/>
    <mergeCell ref="G196:G199"/>
    <mergeCell ref="H196:H199"/>
    <mergeCell ref="I196:I199"/>
    <mergeCell ref="J196:J199"/>
    <mergeCell ref="A200:A203"/>
    <mergeCell ref="A223:A225"/>
    <mergeCell ref="A204:A207"/>
    <mergeCell ref="A208:A211"/>
    <mergeCell ref="A212:A215"/>
    <mergeCell ref="A216:A219"/>
    <mergeCell ref="F204:F207"/>
    <mergeCell ref="G204:G207"/>
    <mergeCell ref="H204:H207"/>
    <mergeCell ref="I204:I207"/>
    <mergeCell ref="J204:J207"/>
    <mergeCell ref="K204:K207"/>
    <mergeCell ref="E208:E211"/>
    <mergeCell ref="F208:F211"/>
    <mergeCell ref="G208:G211"/>
    <mergeCell ref="H208:H211"/>
    <mergeCell ref="I208:I211"/>
    <mergeCell ref="J208:J211"/>
    <mergeCell ref="K208:K211"/>
    <mergeCell ref="F242:F243"/>
    <mergeCell ref="G242:G243"/>
    <mergeCell ref="H242:H243"/>
    <mergeCell ref="I242:I243"/>
    <mergeCell ref="J242:J243"/>
    <mergeCell ref="K242:K243"/>
    <mergeCell ref="I170:I171"/>
    <mergeCell ref="J170:J171"/>
    <mergeCell ref="I172:I173"/>
    <mergeCell ref="J172:J173"/>
    <mergeCell ref="K172:K173"/>
    <mergeCell ref="J174:J175"/>
    <mergeCell ref="K174:K175"/>
    <mergeCell ref="J176:J177"/>
    <mergeCell ref="K176:K177"/>
    <mergeCell ref="F178:F179"/>
    <mergeCell ref="G178:G179"/>
    <mergeCell ref="H178:H179"/>
    <mergeCell ref="I178:I179"/>
    <mergeCell ref="J178:J179"/>
    <mergeCell ref="K178:K179"/>
    <mergeCell ref="J192:J195"/>
    <mergeCell ref="K192:K195"/>
    <mergeCell ref="K196:K199"/>
    <mergeCell ref="K180:K181"/>
    <mergeCell ref="E180:E181"/>
    <mergeCell ref="F182:F183"/>
    <mergeCell ref="G182:G183"/>
    <mergeCell ref="H182:H183"/>
    <mergeCell ref="I182:I183"/>
    <mergeCell ref="J182:J183"/>
    <mergeCell ref="K182:K183"/>
    <mergeCell ref="A170:A171"/>
    <mergeCell ref="A172:A173"/>
    <mergeCell ref="A174:A175"/>
    <mergeCell ref="A176:A177"/>
    <mergeCell ref="F176:F177"/>
    <mergeCell ref="G176:G177"/>
    <mergeCell ref="H176:H177"/>
    <mergeCell ref="I174:I175"/>
    <mergeCell ref="I176:I177"/>
    <mergeCell ref="E176:E177"/>
    <mergeCell ref="A142:A144"/>
    <mergeCell ref="F142:F144"/>
    <mergeCell ref="G142:G144"/>
    <mergeCell ref="H142:H144"/>
    <mergeCell ref="H145:H147"/>
    <mergeCell ref="J148:J150"/>
    <mergeCell ref="K148:K150"/>
    <mergeCell ref="E142:E144"/>
    <mergeCell ref="E145:E147"/>
    <mergeCell ref="E148:E150"/>
    <mergeCell ref="F148:F150"/>
    <mergeCell ref="G148:G150"/>
    <mergeCell ref="H148:H150"/>
    <mergeCell ref="I148:I150"/>
    <mergeCell ref="A145:A147"/>
    <mergeCell ref="A148:A150"/>
    <mergeCell ref="I142:I144"/>
    <mergeCell ref="J142:J144"/>
    <mergeCell ref="K142:K144"/>
    <mergeCell ref="F145:F147"/>
    <mergeCell ref="G145:G147"/>
    <mergeCell ref="I145:I147"/>
    <mergeCell ref="J145:J147"/>
    <mergeCell ref="K145:K147"/>
    <mergeCell ref="A151:A153"/>
    <mergeCell ref="A154:A156"/>
    <mergeCell ref="A157:A159"/>
    <mergeCell ref="A160:A162"/>
    <mergeCell ref="A167:A169"/>
    <mergeCell ref="K184:K185"/>
    <mergeCell ref="A188:K188"/>
    <mergeCell ref="E189:I189"/>
    <mergeCell ref="J189:J191"/>
    <mergeCell ref="K189:K191"/>
    <mergeCell ref="E182:E183"/>
    <mergeCell ref="E184:E185"/>
    <mergeCell ref="F184:F185"/>
    <mergeCell ref="G184:G185"/>
    <mergeCell ref="H184:H185"/>
    <mergeCell ref="I184:I185"/>
    <mergeCell ref="J184:J185"/>
    <mergeCell ref="A189:A191"/>
    <mergeCell ref="E178:E179"/>
    <mergeCell ref="F180:F181"/>
    <mergeCell ref="G180:G181"/>
    <mergeCell ref="H180:H181"/>
    <mergeCell ref="I180:I181"/>
    <mergeCell ref="J180:J181"/>
    <mergeCell ref="A192:A195"/>
    <mergeCell ref="E192:E195"/>
    <mergeCell ref="F192:F195"/>
    <mergeCell ref="G192:G195"/>
    <mergeCell ref="H192:H195"/>
    <mergeCell ref="I192:I195"/>
    <mergeCell ref="A178:A179"/>
    <mergeCell ref="A180:A181"/>
    <mergeCell ref="A182:A183"/>
    <mergeCell ref="A184:A185"/>
    <mergeCell ref="B189:B191"/>
    <mergeCell ref="C189:C191"/>
    <mergeCell ref="D189:D191"/>
    <mergeCell ref="E196:E199"/>
    <mergeCell ref="E200:E203"/>
    <mergeCell ref="F200:F203"/>
    <mergeCell ref="G200:G203"/>
    <mergeCell ref="J200:J203"/>
    <mergeCell ref="K200:K203"/>
    <mergeCell ref="M196:M199"/>
    <mergeCell ref="N196:N199"/>
    <mergeCell ref="O196:O199"/>
    <mergeCell ref="P196:P199"/>
    <mergeCell ref="Q196:Q199"/>
    <mergeCell ref="R196:R199"/>
    <mergeCell ref="H200:H203"/>
    <mergeCell ref="I200:I203"/>
    <mergeCell ref="A222:K222"/>
    <mergeCell ref="E223:I223"/>
    <mergeCell ref="J223:J225"/>
    <mergeCell ref="K223:K225"/>
    <mergeCell ref="E212:E215"/>
    <mergeCell ref="F212:F215"/>
    <mergeCell ref="G212:G215"/>
    <mergeCell ref="H212:H215"/>
    <mergeCell ref="I212:I215"/>
    <mergeCell ref="J212:J215"/>
    <mergeCell ref="K212:K215"/>
    <mergeCell ref="E216:E219"/>
    <mergeCell ref="F216:F219"/>
    <mergeCell ref="G216:G219"/>
    <mergeCell ref="H216:H219"/>
    <mergeCell ref="I216:I219"/>
    <mergeCell ref="J216:J219"/>
    <mergeCell ref="K216:K219"/>
    <mergeCell ref="E204:E207"/>
    <mergeCell ref="J228:J229"/>
    <mergeCell ref="K228:K229"/>
    <mergeCell ref="H226:H227"/>
    <mergeCell ref="I226:I227"/>
    <mergeCell ref="E228:E229"/>
    <mergeCell ref="F228:F229"/>
    <mergeCell ref="G228:G229"/>
    <mergeCell ref="H228:H229"/>
    <mergeCell ref="I228:I229"/>
    <mergeCell ref="J226:J227"/>
    <mergeCell ref="K226:K227"/>
  </mergeCells>
  <conditionalFormatting sqref="K21:K22">
    <cfRule type="containsText" dxfId="11" priority="6" operator="containsText" text="Hạng 1">
      <formula>NOT(ISERROR(SEARCH("Hạng 1",K21)))</formula>
    </cfRule>
    <cfRule type="cellIs" dxfId="10" priority="8" operator="equal">
      <formula>"Hạng 2"</formula>
    </cfRule>
    <cfRule type="cellIs" dxfId="9" priority="9" operator="equal">
      <formula>"Hạng 1"</formula>
    </cfRule>
  </conditionalFormatting>
  <conditionalFormatting sqref="K23:K24">
    <cfRule type="cellIs" dxfId="8" priority="7" operator="equal">
      <formula>"Hạng 2"</formula>
    </cfRule>
  </conditionalFormatting>
  <conditionalFormatting sqref="K21:K34">
    <cfRule type="cellIs" dxfId="7" priority="5" operator="equal">
      <formula>"Hạng 3"</formula>
    </cfRule>
  </conditionalFormatting>
  <conditionalFormatting sqref="A44 A47 A50 A53 B42:D55 A41:K41 L41:XFD55 E44:K44 E47:K47 E50:K50 E53:K53 A56:XFD61 A90:XFD95 A66 A70 A74 A78 A82 A86 A62:K62 B63:D89 E70:K70 E74:K74 E78:K78 E82:K82 E86:K86 L62:XFD65 E66:S66 L74:XFD89 L67:L73 T66:XFD73 M70:S70 A116:XFD138 A100 A104 A108 A112 B97:D115 L96:XFD115 E100:K100 E104:K104 E108:K108 E112:K112 A96:K96 A163:XFD169 A142 A145 A148 A151 A154 A157 A160 B140:D162 L139:XFD162 E142:K142 E145:K145 E148:K148 E151:K151 E154:K154 E157:K157 E160:K160 A139:K139 A172 A174 A176 A178 A180 A182 A184 B171:D185 L170:XFD185 E172:K172 E174:K174 E176:K176 E178:K178 E180:K180 E182:K182 E184:K184 A170:K170 A220:XFD225 A196 A200 A204 A208 A212 A216 B193:D219 E196:K196 E200:K200 E204:K204 E208:K208 E212:K212 E216:K216 A192:K192 L204:XFD219 L192:L203 S192:XFD203 A186:XFD191 M196:R199 M192:R192 A244:XFD1048576 A228 A230 A232 A234 A236 A238 A240 A242 B227:D243 L226:XFD243 E228:K228 E230:K230 E232:K232 E234:K234 E236:K236 E238:K238 E240:K240 E242:K242 A226:K226 A1:XFD40">
    <cfRule type="containsText" dxfId="3" priority="4" operator="containsText" text="Hạng 3">
      <formula>NOT(ISERROR(SEARCH("Hạng 3",A1)))</formula>
    </cfRule>
  </conditionalFormatting>
  <conditionalFormatting sqref="A90:XFD95 A66 A70 A74 A78 A82 A86 A62:K62 B63:D89 E70:K70 E74:K74 E78:K78 E82:K82 E86:K86 L62:XFD65 E66:S66 L74:XFD89 L67:L73 T66:XFD73 M70:S70 A116:XFD138 A100 A104 A108 A112 B97:D115 L96:XFD115 E100:K100 E104:K104 E108:K108 E112:K112 A96:K96 A163:XFD169 A142 A145 A148 A151 A154 A157 A160 B140:D162 L139:XFD162 E142:K142 E145:K145 E148:K148 E151:K151 E154:K154 E157:K157 E160:K160 A139:K139 A172 A174 A176 A178 A180 A182 A184 B171:D185 L170:XFD185 E172:K172 E174:K174 E176:K176 E178:K178 E180:K180 E182:K182 E184:K184 A170:K170 A220:XFD225 A196 A200 A204 A208 A212 A216 B193:D219 E196:K196 E200:K200 E204:K204 E208:K208 E212:K212 E216:K216 A192:K192 L204:XFD219 L192:L203 S192:XFD203 A186:XFD191 M196:R199 M192:R192 A244:XFD1048576 A228 A230 A232 A234 A236 A238 A240 A242 B227:D243 L226:XFD243 E228:K228 E230:K230 E232:K232 E234:K234 E236:K236 E238:K238 E240:K240 E242:K242 A226:K226 A1:XFD61">
    <cfRule type="containsText" dxfId="2" priority="1" operator="containsText" text="Hạng 2">
      <formula>NOT(ISERROR(SEARCH("Hạng 2",A1)))</formula>
    </cfRule>
    <cfRule type="containsText" dxfId="1" priority="2" operator="containsText" text="Hạng 1">
      <formula>NOT(ISERROR(SEARCH("Hạng 1",A1)))</formula>
    </cfRule>
    <cfRule type="cellIs" dxfId="0" priority="3" operator="equal">
      <formula>"Hạng 2"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Q1000"/>
  <sheetViews>
    <sheetView tabSelected="1" workbookViewId="0">
      <pane xSplit="2" topLeftCell="AJ1" activePane="topRight" state="frozen"/>
      <selection pane="topRight" activeCell="BJ9" sqref="BJ9"/>
    </sheetView>
  </sheetViews>
  <sheetFormatPr defaultColWidth="12.6328125" defaultRowHeight="15.05" customHeight="1"/>
  <cols>
    <col min="1" max="1" width="4" customWidth="1"/>
    <col min="2" max="2" width="37.7265625" customWidth="1"/>
    <col min="3" max="63" width="2.453125" customWidth="1"/>
    <col min="64" max="64" width="4.90625" customWidth="1"/>
    <col min="65" max="65" width="3.7265625" customWidth="1"/>
    <col min="66" max="67" width="4.90625" customWidth="1"/>
    <col min="68" max="69" width="2.453125" customWidth="1"/>
  </cols>
  <sheetData>
    <row r="1" spans="1:69" ht="15.0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</row>
    <row r="2" spans="1:69" ht="13.45">
      <c r="A2" s="62" t="s">
        <v>1</v>
      </c>
      <c r="B2" s="67" t="s">
        <v>708</v>
      </c>
      <c r="C2" s="71" t="s">
        <v>709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1"/>
      <c r="T2" s="63" t="s">
        <v>710</v>
      </c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60"/>
      <c r="BL2" s="58" t="s">
        <v>711</v>
      </c>
      <c r="BM2" s="58" t="s">
        <v>712</v>
      </c>
      <c r="BN2" s="58" t="s">
        <v>713</v>
      </c>
      <c r="BO2" s="58" t="s">
        <v>714</v>
      </c>
      <c r="BP2" s="35"/>
      <c r="BQ2" s="35"/>
    </row>
    <row r="3" spans="1:69" ht="13.45">
      <c r="A3" s="57"/>
      <c r="B3" s="68"/>
      <c r="C3" s="72" t="s">
        <v>715</v>
      </c>
      <c r="D3" s="47"/>
      <c r="E3" s="47"/>
      <c r="F3" s="47"/>
      <c r="G3" s="47"/>
      <c r="H3" s="47"/>
      <c r="I3" s="51"/>
      <c r="J3" s="72" t="s">
        <v>716</v>
      </c>
      <c r="K3" s="47"/>
      <c r="L3" s="47"/>
      <c r="M3" s="47"/>
      <c r="N3" s="47"/>
      <c r="O3" s="47"/>
      <c r="P3" s="47"/>
      <c r="Q3" s="47"/>
      <c r="R3" s="47"/>
      <c r="S3" s="51"/>
      <c r="T3" s="63" t="s">
        <v>717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51"/>
      <c r="AF3" s="63" t="s">
        <v>718</v>
      </c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60"/>
      <c r="AU3" s="59" t="s">
        <v>719</v>
      </c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60"/>
      <c r="BL3" s="57"/>
      <c r="BM3" s="57"/>
      <c r="BN3" s="57"/>
      <c r="BO3" s="57"/>
      <c r="BP3" s="35"/>
      <c r="BQ3" s="35"/>
    </row>
    <row r="4" spans="1:69" ht="13.45">
      <c r="A4" s="57"/>
      <c r="B4" s="68"/>
      <c r="C4" s="64" t="s">
        <v>720</v>
      </c>
      <c r="D4" s="47"/>
      <c r="E4" s="60"/>
      <c r="F4" s="65" t="s">
        <v>721</v>
      </c>
      <c r="G4" s="47"/>
      <c r="H4" s="47"/>
      <c r="I4" s="51"/>
      <c r="J4" s="64" t="s">
        <v>720</v>
      </c>
      <c r="K4" s="47"/>
      <c r="L4" s="47"/>
      <c r="M4" s="47"/>
      <c r="N4" s="51"/>
      <c r="O4" s="70" t="s">
        <v>721</v>
      </c>
      <c r="P4" s="47"/>
      <c r="Q4" s="47"/>
      <c r="R4" s="47"/>
      <c r="S4" s="51"/>
      <c r="T4" s="64" t="s">
        <v>722</v>
      </c>
      <c r="U4" s="47"/>
      <c r="V4" s="47"/>
      <c r="W4" s="47"/>
      <c r="X4" s="47"/>
      <c r="Y4" s="60"/>
      <c r="Z4" s="65" t="s">
        <v>721</v>
      </c>
      <c r="AA4" s="47"/>
      <c r="AB4" s="47"/>
      <c r="AC4" s="47"/>
      <c r="AD4" s="47"/>
      <c r="AE4" s="51"/>
      <c r="AF4" s="64" t="s">
        <v>722</v>
      </c>
      <c r="AG4" s="47"/>
      <c r="AH4" s="47"/>
      <c r="AI4" s="47"/>
      <c r="AJ4" s="47"/>
      <c r="AK4" s="47"/>
      <c r="AL4" s="47"/>
      <c r="AM4" s="60"/>
      <c r="AN4" s="65" t="s">
        <v>721</v>
      </c>
      <c r="AO4" s="47"/>
      <c r="AP4" s="47"/>
      <c r="AQ4" s="47"/>
      <c r="AR4" s="47"/>
      <c r="AS4" s="47"/>
      <c r="AT4" s="60"/>
      <c r="AU4" s="66" t="s">
        <v>720</v>
      </c>
      <c r="AV4" s="47"/>
      <c r="AW4" s="47"/>
      <c r="AX4" s="47"/>
      <c r="AY4" s="47"/>
      <c r="AZ4" s="47"/>
      <c r="BA4" s="47"/>
      <c r="BB4" s="47"/>
      <c r="BC4" s="60"/>
      <c r="BD4" s="61" t="s">
        <v>721</v>
      </c>
      <c r="BE4" s="47"/>
      <c r="BF4" s="47"/>
      <c r="BG4" s="47"/>
      <c r="BH4" s="47"/>
      <c r="BI4" s="47"/>
      <c r="BJ4" s="47"/>
      <c r="BK4" s="47"/>
      <c r="BL4" s="57"/>
      <c r="BM4" s="57"/>
      <c r="BN4" s="57"/>
      <c r="BO4" s="57"/>
      <c r="BP4" s="35"/>
      <c r="BQ4" s="35"/>
    </row>
    <row r="5" spans="1:69" ht="13.45">
      <c r="A5" s="49"/>
      <c r="B5" s="69"/>
      <c r="C5" s="36" t="s">
        <v>723</v>
      </c>
      <c r="D5" s="36" t="s">
        <v>724</v>
      </c>
      <c r="E5" s="36" t="s">
        <v>725</v>
      </c>
      <c r="F5" s="37" t="s">
        <v>723</v>
      </c>
      <c r="G5" s="37" t="s">
        <v>724</v>
      </c>
      <c r="H5" s="37" t="s">
        <v>725</v>
      </c>
      <c r="I5" s="37" t="s">
        <v>726</v>
      </c>
      <c r="J5" s="36" t="s">
        <v>723</v>
      </c>
      <c r="K5" s="36" t="s">
        <v>724</v>
      </c>
      <c r="L5" s="36" t="s">
        <v>725</v>
      </c>
      <c r="M5" s="36" t="s">
        <v>727</v>
      </c>
      <c r="N5" s="36" t="s">
        <v>728</v>
      </c>
      <c r="O5" s="37" t="s">
        <v>723</v>
      </c>
      <c r="P5" s="37" t="s">
        <v>724</v>
      </c>
      <c r="Q5" s="37" t="s">
        <v>725</v>
      </c>
      <c r="R5" s="37" t="s">
        <v>727</v>
      </c>
      <c r="S5" s="37" t="s">
        <v>726</v>
      </c>
      <c r="T5" s="36">
        <v>36</v>
      </c>
      <c r="U5" s="36">
        <v>39</v>
      </c>
      <c r="V5" s="36">
        <v>42</v>
      </c>
      <c r="W5" s="36">
        <v>45</v>
      </c>
      <c r="X5" s="36">
        <v>50</v>
      </c>
      <c r="Y5" s="36" t="s">
        <v>729</v>
      </c>
      <c r="Z5" s="38">
        <v>36</v>
      </c>
      <c r="AA5" s="38">
        <v>39</v>
      </c>
      <c r="AB5" s="38">
        <v>42</v>
      </c>
      <c r="AC5" s="38">
        <v>45</v>
      </c>
      <c r="AD5" s="38">
        <v>50</v>
      </c>
      <c r="AE5" s="38" t="s">
        <v>729</v>
      </c>
      <c r="AF5" s="36">
        <v>39</v>
      </c>
      <c r="AG5" s="36">
        <v>42</v>
      </c>
      <c r="AH5" s="36">
        <v>45</v>
      </c>
      <c r="AI5" s="36">
        <v>48</v>
      </c>
      <c r="AJ5" s="36">
        <v>51</v>
      </c>
      <c r="AK5" s="36">
        <v>55</v>
      </c>
      <c r="AL5" s="36">
        <v>60</v>
      </c>
      <c r="AM5" s="36">
        <v>65</v>
      </c>
      <c r="AN5" s="37">
        <v>39</v>
      </c>
      <c r="AO5" s="37">
        <v>42</v>
      </c>
      <c r="AP5" s="37">
        <v>45</v>
      </c>
      <c r="AQ5" s="37">
        <v>48</v>
      </c>
      <c r="AR5" s="37">
        <v>51</v>
      </c>
      <c r="AS5" s="37">
        <v>55</v>
      </c>
      <c r="AT5" s="37">
        <v>60</v>
      </c>
      <c r="AU5" s="36">
        <v>42</v>
      </c>
      <c r="AV5" s="36">
        <v>45</v>
      </c>
      <c r="AW5" s="36">
        <v>48</v>
      </c>
      <c r="AX5" s="36">
        <v>51</v>
      </c>
      <c r="AY5" s="36">
        <v>54</v>
      </c>
      <c r="AZ5" s="36">
        <v>57</v>
      </c>
      <c r="BA5" s="36">
        <v>61</v>
      </c>
      <c r="BB5" s="36">
        <v>65</v>
      </c>
      <c r="BC5" s="36" t="s">
        <v>730</v>
      </c>
      <c r="BD5" s="37">
        <v>39</v>
      </c>
      <c r="BE5" s="37">
        <v>42</v>
      </c>
      <c r="BF5" s="39">
        <v>45</v>
      </c>
      <c r="BG5" s="39">
        <v>48</v>
      </c>
      <c r="BH5" s="39">
        <v>51</v>
      </c>
      <c r="BI5" s="39">
        <v>55</v>
      </c>
      <c r="BJ5" s="39">
        <v>60</v>
      </c>
      <c r="BK5" s="39" t="s">
        <v>731</v>
      </c>
      <c r="BL5" s="49"/>
      <c r="BM5" s="49"/>
      <c r="BN5" s="49"/>
      <c r="BO5" s="49"/>
      <c r="BP5" s="35"/>
      <c r="BQ5" s="35"/>
    </row>
    <row r="6" spans="1:69">
      <c r="A6" s="10">
        <v>1</v>
      </c>
      <c r="B6" s="40" t="s">
        <v>732</v>
      </c>
      <c r="C6" s="41">
        <v>3</v>
      </c>
      <c r="D6" s="41"/>
      <c r="E6" s="41">
        <v>3</v>
      </c>
      <c r="F6" s="41">
        <v>3</v>
      </c>
      <c r="G6" s="41">
        <v>3</v>
      </c>
      <c r="H6" s="41">
        <v>2</v>
      </c>
      <c r="I6" s="41">
        <v>3</v>
      </c>
      <c r="J6" s="41"/>
      <c r="K6" s="41">
        <v>1</v>
      </c>
      <c r="L6" s="41">
        <v>2</v>
      </c>
      <c r="M6" s="41"/>
      <c r="N6" s="41"/>
      <c r="O6" s="41"/>
      <c r="P6" s="41"/>
      <c r="Q6" s="41"/>
      <c r="R6" s="41"/>
      <c r="S6" s="41"/>
      <c r="T6" s="42">
        <v>3</v>
      </c>
      <c r="U6" s="42">
        <v>1</v>
      </c>
      <c r="V6" s="41"/>
      <c r="W6" s="42">
        <v>3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>
        <v>3</v>
      </c>
      <c r="AM6" s="41"/>
      <c r="AN6" s="42">
        <v>3</v>
      </c>
      <c r="AO6" s="41"/>
      <c r="AP6" s="41"/>
      <c r="AQ6" s="41"/>
      <c r="AR6" s="41"/>
      <c r="AS6" s="42">
        <v>3</v>
      </c>
      <c r="AT6" s="42">
        <v>1</v>
      </c>
      <c r="AU6" s="41"/>
      <c r="AV6" s="41"/>
      <c r="AW6" s="41"/>
      <c r="AX6" s="41"/>
      <c r="AY6" s="41"/>
      <c r="AZ6" s="42">
        <v>1</v>
      </c>
      <c r="BA6" s="41"/>
      <c r="BB6" s="41"/>
      <c r="BC6" s="41"/>
      <c r="BD6" s="42">
        <v>2</v>
      </c>
      <c r="BE6" s="41"/>
      <c r="BF6" s="41"/>
      <c r="BG6" s="41"/>
      <c r="BH6" s="41"/>
      <c r="BI6" s="41"/>
      <c r="BJ6" s="42">
        <v>3</v>
      </c>
      <c r="BK6" s="41"/>
      <c r="BL6" s="41">
        <f t="shared" ref="BL6:BL28" si="0">COUNTIF(C6:BK6,"1")</f>
        <v>4</v>
      </c>
      <c r="BM6" s="41">
        <f t="shared" ref="BM6:BM28" si="1">COUNTIF(C6:BK6,"2")</f>
        <v>3</v>
      </c>
      <c r="BN6" s="41">
        <f t="shared" ref="BN6:BN28" si="2">COUNTIF(D6:BK6,"3")</f>
        <v>10</v>
      </c>
      <c r="BO6" s="41"/>
      <c r="BP6" s="34"/>
      <c r="BQ6" s="34"/>
    </row>
    <row r="7" spans="1:69">
      <c r="A7" s="43">
        <v>2</v>
      </c>
      <c r="B7" s="44" t="s">
        <v>733</v>
      </c>
      <c r="C7" s="41"/>
      <c r="D7" s="41"/>
      <c r="E7" s="41"/>
      <c r="F7" s="41"/>
      <c r="G7" s="41"/>
      <c r="H7" s="41">
        <v>3</v>
      </c>
      <c r="I7" s="41"/>
      <c r="J7" s="41"/>
      <c r="K7" s="41"/>
      <c r="L7" s="41"/>
      <c r="M7" s="41"/>
      <c r="N7" s="41">
        <v>3</v>
      </c>
      <c r="O7" s="41">
        <v>2</v>
      </c>
      <c r="P7" s="41">
        <v>3</v>
      </c>
      <c r="Q7" s="41">
        <v>1</v>
      </c>
      <c r="R7" s="41"/>
      <c r="S7" s="41"/>
      <c r="T7" s="42">
        <v>2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2">
        <v>2</v>
      </c>
      <c r="AF7" s="41"/>
      <c r="AG7" s="41"/>
      <c r="AH7" s="41"/>
      <c r="AI7" s="41"/>
      <c r="AJ7" s="42">
        <v>3</v>
      </c>
      <c r="AK7" s="41"/>
      <c r="AL7" s="41"/>
      <c r="AM7" s="41"/>
      <c r="AN7" s="41"/>
      <c r="AO7" s="41"/>
      <c r="AP7" s="42">
        <v>1</v>
      </c>
      <c r="AQ7" s="41"/>
      <c r="AR7" s="42">
        <v>2</v>
      </c>
      <c r="AS7" s="41"/>
      <c r="AT7" s="41"/>
      <c r="AU7" s="42">
        <v>2</v>
      </c>
      <c r="AV7" s="41"/>
      <c r="AW7" s="42">
        <v>1</v>
      </c>
      <c r="AX7" s="41"/>
      <c r="AY7" s="41"/>
      <c r="AZ7" s="41"/>
      <c r="BA7" s="41"/>
      <c r="BB7" s="41"/>
      <c r="BC7" s="41"/>
      <c r="BD7" s="41"/>
      <c r="BE7" s="41"/>
      <c r="BF7" s="42">
        <v>2</v>
      </c>
      <c r="BG7" s="42">
        <v>3</v>
      </c>
      <c r="BH7" s="41"/>
      <c r="BI7" s="42">
        <v>1</v>
      </c>
      <c r="BJ7" s="41"/>
      <c r="BK7" s="41"/>
      <c r="BL7" s="41">
        <f t="shared" si="0"/>
        <v>4</v>
      </c>
      <c r="BM7" s="41">
        <f t="shared" si="1"/>
        <v>6</v>
      </c>
      <c r="BN7" s="41">
        <f t="shared" si="2"/>
        <v>5</v>
      </c>
      <c r="BO7" s="41"/>
      <c r="BP7" s="34"/>
      <c r="BQ7" s="34"/>
    </row>
    <row r="8" spans="1:69">
      <c r="A8" s="43">
        <v>3</v>
      </c>
      <c r="B8" s="44" t="s">
        <v>734</v>
      </c>
      <c r="C8" s="41"/>
      <c r="D8" s="41"/>
      <c r="E8" s="41"/>
      <c r="F8" s="41"/>
      <c r="G8" s="41"/>
      <c r="H8" s="41"/>
      <c r="I8" s="41"/>
      <c r="J8" s="41"/>
      <c r="K8" s="41">
        <v>3</v>
      </c>
      <c r="L8" s="41"/>
      <c r="M8" s="41">
        <v>1</v>
      </c>
      <c r="N8" s="41"/>
      <c r="O8" s="41"/>
      <c r="P8" s="41"/>
      <c r="Q8" s="41"/>
      <c r="R8" s="41"/>
      <c r="S8" s="41"/>
      <c r="T8" s="42">
        <v>3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2">
        <v>3</v>
      </c>
      <c r="AQ8" s="42"/>
      <c r="AR8" s="41"/>
      <c r="AS8" s="41"/>
      <c r="AT8" s="41"/>
      <c r="AU8" s="41"/>
      <c r="AV8" s="41"/>
      <c r="AW8" s="42">
        <v>3</v>
      </c>
      <c r="AX8" s="41"/>
      <c r="AY8" s="42">
        <v>3</v>
      </c>
      <c r="AZ8" s="41"/>
      <c r="BA8" s="41"/>
      <c r="BB8" s="42">
        <v>2</v>
      </c>
      <c r="BC8" s="41"/>
      <c r="BD8" s="41"/>
      <c r="BE8" s="41"/>
      <c r="BF8" s="41"/>
      <c r="BG8" s="41"/>
      <c r="BH8" s="41"/>
      <c r="BI8" s="41"/>
      <c r="BJ8" s="41"/>
      <c r="BK8" s="41"/>
      <c r="BL8" s="41">
        <f t="shared" si="0"/>
        <v>1</v>
      </c>
      <c r="BM8" s="41">
        <f t="shared" si="1"/>
        <v>1</v>
      </c>
      <c r="BN8" s="41">
        <f t="shared" si="2"/>
        <v>5</v>
      </c>
      <c r="BO8" s="41"/>
      <c r="BP8" s="34"/>
      <c r="BQ8" s="34"/>
    </row>
    <row r="9" spans="1:69">
      <c r="A9" s="43">
        <v>4</v>
      </c>
      <c r="B9" s="45" t="s">
        <v>735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2">
        <v>2</v>
      </c>
      <c r="AC9" s="41"/>
      <c r="AD9" s="41"/>
      <c r="AE9" s="42">
        <v>1</v>
      </c>
      <c r="AF9" s="41"/>
      <c r="AG9" s="42">
        <v>1</v>
      </c>
      <c r="AH9" s="41"/>
      <c r="AI9" s="41"/>
      <c r="AJ9" s="41"/>
      <c r="AK9" s="41"/>
      <c r="AL9" s="41"/>
      <c r="AM9" s="41"/>
      <c r="AN9" s="41"/>
      <c r="AO9" s="41"/>
      <c r="AP9" s="42">
        <v>2</v>
      </c>
      <c r="AQ9" s="41"/>
      <c r="AR9" s="41"/>
      <c r="AS9" s="41"/>
      <c r="AT9" s="41"/>
      <c r="AU9" s="42">
        <v>1</v>
      </c>
      <c r="AV9" s="41"/>
      <c r="AW9" s="41"/>
      <c r="AX9" s="41"/>
      <c r="AY9" s="41"/>
      <c r="AZ9" s="41"/>
      <c r="BA9" s="42">
        <v>2</v>
      </c>
      <c r="BB9" s="42">
        <v>1</v>
      </c>
      <c r="BC9" s="41"/>
      <c r="BD9" s="42">
        <v>3</v>
      </c>
      <c r="BE9" s="41"/>
      <c r="BF9" s="41"/>
      <c r="BG9" s="41"/>
      <c r="BH9" s="41"/>
      <c r="BI9" s="41"/>
      <c r="BJ9" s="41"/>
      <c r="BK9" s="41"/>
      <c r="BL9" s="41">
        <f t="shared" si="0"/>
        <v>4</v>
      </c>
      <c r="BM9" s="41">
        <f t="shared" si="1"/>
        <v>3</v>
      </c>
      <c r="BN9" s="41">
        <f t="shared" si="2"/>
        <v>1</v>
      </c>
      <c r="BO9" s="41"/>
      <c r="BP9" s="34"/>
      <c r="BQ9" s="34"/>
    </row>
    <row r="10" spans="1:69">
      <c r="A10" s="43">
        <v>5</v>
      </c>
      <c r="B10" s="44" t="s">
        <v>736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>
        <v>2</v>
      </c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2">
        <v>3</v>
      </c>
      <c r="AS10" s="42"/>
      <c r="AT10" s="42">
        <v>3</v>
      </c>
      <c r="AU10" s="42">
        <v>3</v>
      </c>
      <c r="AV10" s="42">
        <v>1</v>
      </c>
      <c r="AW10" s="41"/>
      <c r="AX10" s="41"/>
      <c r="AY10" s="41"/>
      <c r="AZ10" s="41"/>
      <c r="BA10" s="41"/>
      <c r="BB10" s="42">
        <v>3</v>
      </c>
      <c r="BC10" s="42">
        <v>3</v>
      </c>
      <c r="BD10" s="41"/>
      <c r="BE10" s="41"/>
      <c r="BF10" s="41"/>
      <c r="BG10" s="42">
        <v>3</v>
      </c>
      <c r="BH10" s="41"/>
      <c r="BI10" s="41"/>
      <c r="BJ10" s="41"/>
      <c r="BK10" s="41"/>
      <c r="BL10" s="41">
        <f t="shared" si="0"/>
        <v>1</v>
      </c>
      <c r="BM10" s="41">
        <f t="shared" si="1"/>
        <v>1</v>
      </c>
      <c r="BN10" s="41">
        <f t="shared" si="2"/>
        <v>6</v>
      </c>
      <c r="BO10" s="41"/>
      <c r="BP10" s="34"/>
      <c r="BQ10" s="34"/>
    </row>
    <row r="11" spans="1:69">
      <c r="A11" s="43">
        <v>6</v>
      </c>
      <c r="B11" s="44" t="s">
        <v>737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>
        <v>3</v>
      </c>
      <c r="AA11" s="41"/>
      <c r="AB11" s="41"/>
      <c r="AC11" s="41"/>
      <c r="AD11" s="41"/>
      <c r="AE11" s="41"/>
      <c r="AF11" s="42">
        <v>1</v>
      </c>
      <c r="AG11" s="42">
        <v>3</v>
      </c>
      <c r="AH11" s="41"/>
      <c r="AI11" s="41"/>
      <c r="AJ11" s="41"/>
      <c r="AK11" s="41"/>
      <c r="AL11" s="41"/>
      <c r="AM11" s="41"/>
      <c r="AN11" s="41"/>
      <c r="AO11" s="41"/>
      <c r="AP11" s="41"/>
      <c r="AQ11" s="42">
        <v>3</v>
      </c>
      <c r="AR11" s="41"/>
      <c r="AS11" s="41"/>
      <c r="AT11" s="41"/>
      <c r="AU11" s="41"/>
      <c r="AV11" s="41"/>
      <c r="AW11" s="41"/>
      <c r="AX11" s="41"/>
      <c r="AY11" s="42">
        <v>2</v>
      </c>
      <c r="AZ11" s="42">
        <v>3</v>
      </c>
      <c r="BA11" s="41"/>
      <c r="BB11" s="41"/>
      <c r="BC11" s="41"/>
      <c r="BD11" s="41"/>
      <c r="BE11" s="42">
        <v>2</v>
      </c>
      <c r="BF11" s="42">
        <v>3</v>
      </c>
      <c r="BG11" s="41"/>
      <c r="BH11" s="41"/>
      <c r="BI11" s="41"/>
      <c r="BJ11" s="41"/>
      <c r="BK11" s="41"/>
      <c r="BL11" s="41">
        <f t="shared" si="0"/>
        <v>1</v>
      </c>
      <c r="BM11" s="41">
        <f t="shared" si="1"/>
        <v>2</v>
      </c>
      <c r="BN11" s="41">
        <f t="shared" si="2"/>
        <v>5</v>
      </c>
      <c r="BO11" s="41"/>
      <c r="BP11" s="34"/>
      <c r="BQ11" s="34"/>
    </row>
    <row r="12" spans="1:69">
      <c r="A12" s="43">
        <v>7</v>
      </c>
      <c r="B12" s="44" t="s">
        <v>738</v>
      </c>
      <c r="C12" s="41">
        <v>3</v>
      </c>
      <c r="D12" s="41">
        <v>3</v>
      </c>
      <c r="E12" s="41"/>
      <c r="F12" s="41"/>
      <c r="G12" s="41"/>
      <c r="H12" s="41"/>
      <c r="I12" s="41"/>
      <c r="J12" s="41">
        <v>3</v>
      </c>
      <c r="K12" s="41"/>
      <c r="L12" s="41"/>
      <c r="M12" s="41"/>
      <c r="N12" s="41">
        <v>3</v>
      </c>
      <c r="O12" s="41"/>
      <c r="P12" s="41">
        <v>1</v>
      </c>
      <c r="Q12" s="41">
        <v>3</v>
      </c>
      <c r="R12" s="41">
        <v>2</v>
      </c>
      <c r="S12" s="41"/>
      <c r="T12" s="42">
        <v>1</v>
      </c>
      <c r="U12" s="42">
        <v>2</v>
      </c>
      <c r="V12" s="42">
        <v>3</v>
      </c>
      <c r="W12" s="42">
        <v>2</v>
      </c>
      <c r="X12" s="42">
        <v>3</v>
      </c>
      <c r="Y12" s="42">
        <v>3</v>
      </c>
      <c r="Z12" s="42">
        <v>1</v>
      </c>
      <c r="AA12" s="42">
        <v>1</v>
      </c>
      <c r="AB12" s="41"/>
      <c r="AC12" s="42">
        <v>1</v>
      </c>
      <c r="AD12" s="41">
        <v>3</v>
      </c>
      <c r="AE12" s="41">
        <v>3</v>
      </c>
      <c r="AF12" s="42">
        <v>3</v>
      </c>
      <c r="AG12" s="41"/>
      <c r="AH12" s="42">
        <v>3</v>
      </c>
      <c r="AI12" s="42">
        <v>2</v>
      </c>
      <c r="AJ12" s="42">
        <v>3</v>
      </c>
      <c r="AK12" s="41"/>
      <c r="AL12" s="41"/>
      <c r="AM12" s="42">
        <v>3</v>
      </c>
      <c r="AN12" s="41"/>
      <c r="AO12" s="42">
        <v>2</v>
      </c>
      <c r="AP12" s="42">
        <v>3</v>
      </c>
      <c r="AQ12" s="42">
        <v>3</v>
      </c>
      <c r="AR12" s="41"/>
      <c r="AS12" s="42">
        <v>2</v>
      </c>
      <c r="AT12" s="42">
        <v>3</v>
      </c>
      <c r="AU12" s="41"/>
      <c r="AV12" s="42">
        <v>3</v>
      </c>
      <c r="AW12" s="41"/>
      <c r="AX12" s="41"/>
      <c r="AY12" s="41"/>
      <c r="AZ12" s="42">
        <v>2</v>
      </c>
      <c r="BA12" s="41"/>
      <c r="BB12" s="41"/>
      <c r="BC12" s="41"/>
      <c r="BD12" s="42">
        <v>1</v>
      </c>
      <c r="BE12" s="42">
        <v>1</v>
      </c>
      <c r="BF12" s="41"/>
      <c r="BG12" s="42">
        <v>1</v>
      </c>
      <c r="BH12" s="41"/>
      <c r="BI12" s="41"/>
      <c r="BJ12" s="41"/>
      <c r="BK12" s="42">
        <v>3</v>
      </c>
      <c r="BL12" s="41">
        <f t="shared" si="0"/>
        <v>8</v>
      </c>
      <c r="BM12" s="41">
        <f t="shared" si="1"/>
        <v>7</v>
      </c>
      <c r="BN12" s="41">
        <f t="shared" si="2"/>
        <v>18</v>
      </c>
      <c r="BO12" s="42" t="s">
        <v>739</v>
      </c>
      <c r="BP12" s="34"/>
      <c r="BQ12" s="34"/>
    </row>
    <row r="13" spans="1:69">
      <c r="A13" s="43">
        <v>8</v>
      </c>
      <c r="B13" s="45" t="s">
        <v>740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2">
        <v>3</v>
      </c>
      <c r="V13" s="41"/>
      <c r="W13" s="41"/>
      <c r="X13" s="41"/>
      <c r="Y13" s="41"/>
      <c r="Z13" s="41"/>
      <c r="AA13" s="41"/>
      <c r="AB13" s="42">
        <v>1</v>
      </c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2">
        <v>3</v>
      </c>
      <c r="BF13" s="41"/>
      <c r="BG13" s="41"/>
      <c r="BH13" s="41"/>
      <c r="BI13" s="41"/>
      <c r="BJ13" s="41"/>
      <c r="BK13" s="41"/>
      <c r="BL13" s="41">
        <f t="shared" si="0"/>
        <v>1</v>
      </c>
      <c r="BM13" s="41">
        <f t="shared" si="1"/>
        <v>0</v>
      </c>
      <c r="BN13" s="41">
        <f t="shared" si="2"/>
        <v>2</v>
      </c>
      <c r="BO13" s="41"/>
      <c r="BP13" s="34"/>
      <c r="BQ13" s="34"/>
    </row>
    <row r="14" spans="1:69">
      <c r="A14" s="43">
        <v>9</v>
      </c>
      <c r="B14" s="45" t="s">
        <v>741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>
        <v>3</v>
      </c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>
        <f t="shared" si="0"/>
        <v>0</v>
      </c>
      <c r="BM14" s="41">
        <f t="shared" si="1"/>
        <v>0</v>
      </c>
      <c r="BN14" s="41">
        <f t="shared" si="2"/>
        <v>1</v>
      </c>
      <c r="BO14" s="41"/>
      <c r="BP14" s="34"/>
      <c r="BQ14" s="34"/>
    </row>
    <row r="15" spans="1:69">
      <c r="A15" s="43">
        <v>10</v>
      </c>
      <c r="B15" s="45" t="s">
        <v>742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2">
        <v>1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2">
        <v>2</v>
      </c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>
        <f t="shared" si="0"/>
        <v>1</v>
      </c>
      <c r="BM15" s="41">
        <f t="shared" si="1"/>
        <v>1</v>
      </c>
      <c r="BN15" s="41">
        <f t="shared" si="2"/>
        <v>0</v>
      </c>
      <c r="BO15" s="41"/>
      <c r="BP15" s="34"/>
      <c r="BQ15" s="34"/>
    </row>
    <row r="16" spans="1:69">
      <c r="A16" s="43">
        <v>11</v>
      </c>
      <c r="B16" s="45" t="s">
        <v>743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2">
        <v>1</v>
      </c>
      <c r="AK16" s="41"/>
      <c r="AL16" s="41"/>
      <c r="AM16" s="41"/>
      <c r="AN16" s="42">
        <v>3</v>
      </c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2">
        <v>3</v>
      </c>
      <c r="BB16" s="41"/>
      <c r="BC16" s="42">
        <v>1</v>
      </c>
      <c r="BD16" s="41"/>
      <c r="BE16" s="41"/>
      <c r="BF16" s="42">
        <v>1</v>
      </c>
      <c r="BG16" s="41"/>
      <c r="BH16" s="42">
        <v>2</v>
      </c>
      <c r="BI16" s="41"/>
      <c r="BJ16" s="42">
        <v>2</v>
      </c>
      <c r="BK16" s="41"/>
      <c r="BL16" s="41">
        <f t="shared" si="0"/>
        <v>3</v>
      </c>
      <c r="BM16" s="41">
        <f t="shared" si="1"/>
        <v>2</v>
      </c>
      <c r="BN16" s="41">
        <f t="shared" si="2"/>
        <v>2</v>
      </c>
      <c r="BO16" s="41"/>
      <c r="BP16" s="34"/>
      <c r="BQ16" s="34"/>
    </row>
    <row r="17" spans="1:69">
      <c r="A17" s="43">
        <v>12</v>
      </c>
      <c r="B17" s="44" t="s">
        <v>744</v>
      </c>
      <c r="C17" s="41">
        <v>2</v>
      </c>
      <c r="D17" s="41"/>
      <c r="E17" s="41"/>
      <c r="F17" s="41">
        <v>2</v>
      </c>
      <c r="G17" s="41"/>
      <c r="H17" s="41"/>
      <c r="I17" s="41"/>
      <c r="J17" s="41"/>
      <c r="K17" s="41"/>
      <c r="L17" s="41"/>
      <c r="M17" s="41"/>
      <c r="N17" s="41"/>
      <c r="O17" s="41">
        <v>3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2">
        <v>3</v>
      </c>
      <c r="BF17" s="41"/>
      <c r="BG17" s="41"/>
      <c r="BH17" s="41"/>
      <c r="BI17" s="41"/>
      <c r="BJ17" s="41"/>
      <c r="BK17" s="41"/>
      <c r="BL17" s="41">
        <f t="shared" si="0"/>
        <v>0</v>
      </c>
      <c r="BM17" s="41">
        <f t="shared" si="1"/>
        <v>2</v>
      </c>
      <c r="BN17" s="41">
        <f t="shared" si="2"/>
        <v>2</v>
      </c>
      <c r="BO17" s="41"/>
      <c r="BP17" s="34"/>
      <c r="BQ17" s="34"/>
    </row>
    <row r="18" spans="1:69">
      <c r="A18" s="43">
        <v>13</v>
      </c>
      <c r="B18" s="44" t="s">
        <v>745</v>
      </c>
      <c r="C18" s="41">
        <v>1</v>
      </c>
      <c r="D18" s="41">
        <v>1</v>
      </c>
      <c r="E18" s="41">
        <v>1</v>
      </c>
      <c r="F18" s="41">
        <v>1</v>
      </c>
      <c r="G18" s="41">
        <v>1</v>
      </c>
      <c r="H18" s="41">
        <v>3</v>
      </c>
      <c r="I18" s="41">
        <v>2</v>
      </c>
      <c r="J18" s="41">
        <v>2</v>
      </c>
      <c r="K18" s="41"/>
      <c r="L18" s="41">
        <v>3</v>
      </c>
      <c r="M18" s="41">
        <v>3</v>
      </c>
      <c r="N18" s="41">
        <v>1</v>
      </c>
      <c r="O18" s="41">
        <v>3</v>
      </c>
      <c r="P18" s="41">
        <v>2</v>
      </c>
      <c r="Q18" s="41">
        <v>2</v>
      </c>
      <c r="R18" s="41">
        <v>1</v>
      </c>
      <c r="S18" s="41">
        <v>1</v>
      </c>
      <c r="T18" s="41"/>
      <c r="U18" s="41"/>
      <c r="V18" s="42">
        <v>3</v>
      </c>
      <c r="W18" s="42">
        <v>1</v>
      </c>
      <c r="X18" s="41"/>
      <c r="Y18" s="41"/>
      <c r="Z18" s="41"/>
      <c r="AA18" s="41"/>
      <c r="AB18" s="41"/>
      <c r="AC18" s="41"/>
      <c r="AD18" s="41"/>
      <c r="AE18" s="41"/>
      <c r="AF18" s="41"/>
      <c r="AG18" s="42">
        <v>3</v>
      </c>
      <c r="AH18" s="41"/>
      <c r="AI18" s="42">
        <v>3</v>
      </c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>
        <v>3</v>
      </c>
      <c r="AV18" s="42">
        <v>2</v>
      </c>
      <c r="AW18" s="42"/>
      <c r="AX18" s="42">
        <v>2</v>
      </c>
      <c r="AY18" s="41"/>
      <c r="AZ18" s="42">
        <v>3</v>
      </c>
      <c r="BA18" s="42">
        <v>3</v>
      </c>
      <c r="BB18" s="41"/>
      <c r="BC18" s="41"/>
      <c r="BD18" s="41"/>
      <c r="BE18" s="41"/>
      <c r="BF18" s="42">
        <v>3</v>
      </c>
      <c r="BG18" s="41"/>
      <c r="BH18" s="42"/>
      <c r="BI18" s="41"/>
      <c r="BJ18" s="41"/>
      <c r="BK18" s="41"/>
      <c r="BL18" s="41">
        <f t="shared" si="0"/>
        <v>9</v>
      </c>
      <c r="BM18" s="41">
        <f t="shared" si="1"/>
        <v>6</v>
      </c>
      <c r="BN18" s="41">
        <f t="shared" si="2"/>
        <v>11</v>
      </c>
      <c r="BO18" s="42" t="s">
        <v>746</v>
      </c>
      <c r="BP18" s="34"/>
      <c r="BQ18" s="34"/>
    </row>
    <row r="19" spans="1:69">
      <c r="A19" s="43">
        <v>14</v>
      </c>
      <c r="B19" s="45" t="s">
        <v>19</v>
      </c>
      <c r="C19" s="41"/>
      <c r="D19" s="41">
        <v>2</v>
      </c>
      <c r="E19" s="41">
        <v>2</v>
      </c>
      <c r="F19" s="41">
        <v>3</v>
      </c>
      <c r="G19" s="41"/>
      <c r="H19" s="41"/>
      <c r="I19" s="41"/>
      <c r="J19" s="41">
        <v>1</v>
      </c>
      <c r="K19" s="41">
        <v>2</v>
      </c>
      <c r="L19" s="41"/>
      <c r="M19" s="41"/>
      <c r="N19" s="41"/>
      <c r="O19" s="41"/>
      <c r="P19" s="41"/>
      <c r="Q19" s="41">
        <v>3</v>
      </c>
      <c r="R19" s="41"/>
      <c r="S19" s="41">
        <v>3</v>
      </c>
      <c r="T19" s="41"/>
      <c r="U19" s="42">
        <v>3</v>
      </c>
      <c r="V19" s="41"/>
      <c r="W19" s="41"/>
      <c r="X19" s="41"/>
      <c r="Y19" s="42">
        <v>2</v>
      </c>
      <c r="Z19" s="41"/>
      <c r="AA19" s="41"/>
      <c r="AB19" s="41"/>
      <c r="AC19" s="41"/>
      <c r="AD19" s="42">
        <v>2</v>
      </c>
      <c r="AE19" s="41"/>
      <c r="AF19" s="42">
        <v>3</v>
      </c>
      <c r="AG19" s="42">
        <v>2</v>
      </c>
      <c r="AH19" s="41"/>
      <c r="AI19" s="41"/>
      <c r="AJ19" s="41"/>
      <c r="AK19" s="42">
        <v>1</v>
      </c>
      <c r="AL19" s="41"/>
      <c r="AM19" s="41"/>
      <c r="AN19" s="41"/>
      <c r="AO19" s="41"/>
      <c r="AP19" s="41"/>
      <c r="AQ19" s="41"/>
      <c r="AR19" s="42">
        <v>1</v>
      </c>
      <c r="AS19" s="41"/>
      <c r="AT19" s="41"/>
      <c r="AU19" s="41"/>
      <c r="AV19" s="41"/>
      <c r="AW19" s="41"/>
      <c r="AX19" s="42">
        <v>3</v>
      </c>
      <c r="AY19" s="42">
        <v>3</v>
      </c>
      <c r="AZ19" s="41"/>
      <c r="BA19" s="41"/>
      <c r="BB19" s="42">
        <v>3</v>
      </c>
      <c r="BC19" s="42">
        <v>2</v>
      </c>
      <c r="BD19" s="42">
        <v>3</v>
      </c>
      <c r="BE19" s="41"/>
      <c r="BF19" s="41"/>
      <c r="BG19" s="42">
        <v>2</v>
      </c>
      <c r="BH19" s="42">
        <v>1</v>
      </c>
      <c r="BI19" s="41"/>
      <c r="BJ19" s="42">
        <v>1</v>
      </c>
      <c r="BK19" s="42">
        <v>1</v>
      </c>
      <c r="BL19" s="41">
        <f t="shared" si="0"/>
        <v>6</v>
      </c>
      <c r="BM19" s="41">
        <f t="shared" si="1"/>
        <v>8</v>
      </c>
      <c r="BN19" s="41">
        <f t="shared" si="2"/>
        <v>9</v>
      </c>
      <c r="BO19" s="41"/>
      <c r="BP19" s="34"/>
      <c r="BQ19" s="34"/>
    </row>
    <row r="20" spans="1:69">
      <c r="A20" s="43">
        <v>15</v>
      </c>
      <c r="B20" s="45" t="s">
        <v>747</v>
      </c>
      <c r="C20" s="41"/>
      <c r="D20" s="41"/>
      <c r="E20" s="41">
        <v>3</v>
      </c>
      <c r="F20" s="41"/>
      <c r="G20" s="41"/>
      <c r="H20" s="41"/>
      <c r="I20" s="41">
        <v>3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>
        <v>3</v>
      </c>
      <c r="AC20" s="41">
        <v>3</v>
      </c>
      <c r="AD20" s="41"/>
      <c r="AE20" s="41"/>
      <c r="AF20" s="41"/>
      <c r="AG20" s="41"/>
      <c r="AH20" s="42">
        <v>2</v>
      </c>
      <c r="AI20" s="42">
        <v>3</v>
      </c>
      <c r="AJ20" s="41"/>
      <c r="AK20" s="42">
        <v>3</v>
      </c>
      <c r="AL20" s="42">
        <v>1</v>
      </c>
      <c r="AM20" s="42">
        <v>2</v>
      </c>
      <c r="AN20" s="41"/>
      <c r="AO20" s="42">
        <v>3</v>
      </c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>
        <f t="shared" si="0"/>
        <v>1</v>
      </c>
      <c r="BM20" s="41">
        <f t="shared" si="1"/>
        <v>2</v>
      </c>
      <c r="BN20" s="41">
        <f t="shared" si="2"/>
        <v>7</v>
      </c>
      <c r="BO20" s="41"/>
      <c r="BP20" s="34"/>
      <c r="BQ20" s="34"/>
    </row>
    <row r="21" spans="1:69" ht="15.75" customHeight="1">
      <c r="A21" s="43">
        <v>16</v>
      </c>
      <c r="B21" s="45" t="s">
        <v>70</v>
      </c>
      <c r="C21" s="41"/>
      <c r="D21" s="41"/>
      <c r="E21" s="41"/>
      <c r="F21" s="41"/>
      <c r="G21" s="41">
        <v>2</v>
      </c>
      <c r="H21" s="41">
        <v>1</v>
      </c>
      <c r="I21" s="41">
        <v>1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>
        <v>2</v>
      </c>
      <c r="Y21" s="41"/>
      <c r="Z21" s="42">
        <v>2</v>
      </c>
      <c r="AA21" s="42">
        <v>2</v>
      </c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2">
        <v>2</v>
      </c>
      <c r="AM21" s="42">
        <v>1</v>
      </c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2">
        <v>3</v>
      </c>
      <c r="BI21" s="41"/>
      <c r="BJ21" s="41"/>
      <c r="BK21" s="41"/>
      <c r="BL21" s="41">
        <f t="shared" si="0"/>
        <v>3</v>
      </c>
      <c r="BM21" s="41">
        <f t="shared" si="1"/>
        <v>5</v>
      </c>
      <c r="BN21" s="41">
        <f t="shared" si="2"/>
        <v>1</v>
      </c>
      <c r="BO21" s="41"/>
      <c r="BP21" s="34"/>
      <c r="BQ21" s="34"/>
    </row>
    <row r="22" spans="1:69" ht="15.75" customHeight="1">
      <c r="A22" s="43">
        <v>17</v>
      </c>
      <c r="B22" s="45" t="s">
        <v>748</v>
      </c>
      <c r="C22" s="41"/>
      <c r="D22" s="41"/>
      <c r="E22" s="41"/>
      <c r="F22" s="41"/>
      <c r="G22" s="41">
        <v>3</v>
      </c>
      <c r="H22" s="41"/>
      <c r="I22" s="41"/>
      <c r="J22" s="41">
        <v>3</v>
      </c>
      <c r="K22" s="41">
        <v>3</v>
      </c>
      <c r="L22" s="41">
        <v>3</v>
      </c>
      <c r="M22" s="41">
        <v>3</v>
      </c>
      <c r="N22" s="41"/>
      <c r="O22" s="41">
        <v>1</v>
      </c>
      <c r="P22" s="41">
        <v>3</v>
      </c>
      <c r="Q22" s="41"/>
      <c r="R22" s="41">
        <v>3</v>
      </c>
      <c r="S22" s="41">
        <v>3</v>
      </c>
      <c r="T22" s="41"/>
      <c r="U22" s="41"/>
      <c r="V22" s="41"/>
      <c r="W22" s="42">
        <v>3</v>
      </c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2">
        <v>3</v>
      </c>
      <c r="AP22" s="41"/>
      <c r="AQ22" s="42">
        <v>2</v>
      </c>
      <c r="AR22" s="42">
        <v>3</v>
      </c>
      <c r="AS22" s="41"/>
      <c r="AT22" s="41"/>
      <c r="AU22" s="41"/>
      <c r="AV22" s="41"/>
      <c r="AW22" s="42">
        <v>3</v>
      </c>
      <c r="AX22" s="42">
        <v>1</v>
      </c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2">
        <v>2</v>
      </c>
      <c r="BJ22" s="41"/>
      <c r="BK22" s="41"/>
      <c r="BL22" s="41">
        <f t="shared" si="0"/>
        <v>2</v>
      </c>
      <c r="BM22" s="41">
        <f t="shared" si="1"/>
        <v>2</v>
      </c>
      <c r="BN22" s="41">
        <f t="shared" si="2"/>
        <v>12</v>
      </c>
      <c r="BO22" s="41"/>
      <c r="BP22" s="34"/>
      <c r="BQ22" s="34"/>
    </row>
    <row r="23" spans="1:69" ht="15.75" customHeight="1">
      <c r="A23" s="43">
        <v>18</v>
      </c>
      <c r="B23" s="45" t="s">
        <v>749</v>
      </c>
      <c r="C23" s="41"/>
      <c r="D23" s="41"/>
      <c r="E23" s="41"/>
      <c r="F23" s="41"/>
      <c r="G23" s="41"/>
      <c r="H23" s="41"/>
      <c r="I23" s="41"/>
      <c r="J23" s="41"/>
      <c r="K23" s="41"/>
      <c r="L23" s="41">
        <v>1</v>
      </c>
      <c r="M23" s="41">
        <v>2</v>
      </c>
      <c r="N23" s="41">
        <v>2</v>
      </c>
      <c r="O23" s="41"/>
      <c r="P23" s="41"/>
      <c r="Q23" s="41"/>
      <c r="R23" s="41">
        <v>3</v>
      </c>
      <c r="S23" s="41">
        <v>2</v>
      </c>
      <c r="T23" s="41"/>
      <c r="U23" s="41"/>
      <c r="V23" s="42">
        <v>1</v>
      </c>
      <c r="W23" s="41"/>
      <c r="X23" s="42">
        <v>3</v>
      </c>
      <c r="Y23" s="41"/>
      <c r="Z23" s="41"/>
      <c r="AA23" s="41"/>
      <c r="AB23" s="41"/>
      <c r="AC23" s="42">
        <v>2</v>
      </c>
      <c r="AD23" s="42">
        <v>1</v>
      </c>
      <c r="AE23" s="41"/>
      <c r="AF23" s="41"/>
      <c r="AG23" s="41"/>
      <c r="AH23" s="41"/>
      <c r="AI23" s="42">
        <v>1</v>
      </c>
      <c r="AJ23" s="41"/>
      <c r="AK23" s="41"/>
      <c r="AL23" s="41"/>
      <c r="AM23" s="41"/>
      <c r="AN23" s="42">
        <v>1</v>
      </c>
      <c r="AO23" s="41"/>
      <c r="AP23" s="41"/>
      <c r="AQ23" s="41"/>
      <c r="AR23" s="41"/>
      <c r="AS23" s="42">
        <v>1</v>
      </c>
      <c r="AT23" s="41"/>
      <c r="AU23" s="41"/>
      <c r="AV23" s="41"/>
      <c r="AW23" s="42">
        <v>2</v>
      </c>
      <c r="AX23" s="42">
        <v>3</v>
      </c>
      <c r="AY23" s="42">
        <v>1</v>
      </c>
      <c r="AZ23" s="41"/>
      <c r="BA23" s="42">
        <v>1</v>
      </c>
      <c r="BB23" s="41"/>
      <c r="BC23" s="41"/>
      <c r="BD23" s="41"/>
      <c r="BE23" s="41"/>
      <c r="BF23" s="41"/>
      <c r="BG23" s="41"/>
      <c r="BH23" s="41"/>
      <c r="BI23" s="42">
        <v>3</v>
      </c>
      <c r="BJ23" s="41"/>
      <c r="BK23" s="41"/>
      <c r="BL23" s="41">
        <f t="shared" si="0"/>
        <v>8</v>
      </c>
      <c r="BM23" s="41">
        <f t="shared" si="1"/>
        <v>5</v>
      </c>
      <c r="BN23" s="41">
        <f t="shared" si="2"/>
        <v>4</v>
      </c>
      <c r="BO23" s="42" t="s">
        <v>750</v>
      </c>
      <c r="BP23" s="34"/>
      <c r="BQ23" s="34"/>
    </row>
    <row r="24" spans="1:69" ht="15.75" customHeight="1">
      <c r="A24" s="43">
        <v>19</v>
      </c>
      <c r="B24" s="45" t="s">
        <v>751</v>
      </c>
      <c r="C24" s="41"/>
      <c r="D24" s="41">
        <v>3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>
        <v>3</v>
      </c>
      <c r="AA24" s="41">
        <v>3</v>
      </c>
      <c r="AB24" s="41">
        <v>3</v>
      </c>
      <c r="AC24" s="41">
        <v>3</v>
      </c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2">
        <v>2</v>
      </c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2">
        <v>3</v>
      </c>
      <c r="BK24" s="41"/>
      <c r="BL24" s="41">
        <f t="shared" si="0"/>
        <v>0</v>
      </c>
      <c r="BM24" s="41">
        <f t="shared" si="1"/>
        <v>1</v>
      </c>
      <c r="BN24" s="41">
        <f t="shared" si="2"/>
        <v>6</v>
      </c>
      <c r="BO24" s="41"/>
      <c r="BP24" s="34"/>
      <c r="BQ24" s="34"/>
    </row>
    <row r="25" spans="1:69" ht="15.75" customHeight="1">
      <c r="A25" s="43">
        <v>20</v>
      </c>
      <c r="B25" s="45" t="s">
        <v>752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2">
        <v>1</v>
      </c>
      <c r="Y25" s="42">
        <v>3</v>
      </c>
      <c r="Z25" s="41"/>
      <c r="AA25" s="41"/>
      <c r="AB25" s="41"/>
      <c r="AC25" s="41"/>
      <c r="AD25" s="41"/>
      <c r="AE25" s="41">
        <v>3</v>
      </c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2">
        <v>2</v>
      </c>
      <c r="BL25" s="41">
        <f t="shared" si="0"/>
        <v>1</v>
      </c>
      <c r="BM25" s="41">
        <f t="shared" si="1"/>
        <v>1</v>
      </c>
      <c r="BN25" s="41">
        <f t="shared" si="2"/>
        <v>2</v>
      </c>
      <c r="BO25" s="41"/>
      <c r="BP25" s="34"/>
      <c r="BQ25" s="34"/>
    </row>
    <row r="26" spans="1:69" ht="15.75" customHeight="1">
      <c r="A26" s="43">
        <v>21</v>
      </c>
      <c r="B26" s="45" t="s">
        <v>753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>
        <v>2</v>
      </c>
      <c r="W26" s="41"/>
      <c r="X26" s="41"/>
      <c r="Y26" s="41"/>
      <c r="Z26" s="41"/>
      <c r="AA26" s="41">
        <v>3</v>
      </c>
      <c r="AB26" s="41"/>
      <c r="AC26" s="41"/>
      <c r="AD26" s="41"/>
      <c r="AE26" s="41"/>
      <c r="AF26" s="41"/>
      <c r="AG26" s="41"/>
      <c r="AH26" s="42">
        <v>1</v>
      </c>
      <c r="AI26" s="41"/>
      <c r="AJ26" s="41"/>
      <c r="AK26" s="41"/>
      <c r="AL26" s="41"/>
      <c r="AM26" s="41"/>
      <c r="AN26" s="42">
        <v>2</v>
      </c>
      <c r="AO26" s="42">
        <v>1</v>
      </c>
      <c r="AP26" s="41"/>
      <c r="AQ26" s="42">
        <v>1</v>
      </c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2">
        <v>3</v>
      </c>
      <c r="BD26" s="41"/>
      <c r="BE26" s="41"/>
      <c r="BF26" s="41"/>
      <c r="BG26" s="41"/>
      <c r="BH26" s="41"/>
      <c r="BI26" s="41"/>
      <c r="BJ26" s="41"/>
      <c r="BK26" s="41"/>
      <c r="BL26" s="41">
        <f t="shared" si="0"/>
        <v>3</v>
      </c>
      <c r="BM26" s="41">
        <f t="shared" si="1"/>
        <v>2</v>
      </c>
      <c r="BN26" s="41">
        <f t="shared" si="2"/>
        <v>2</v>
      </c>
      <c r="BO26" s="41"/>
      <c r="BP26" s="34"/>
      <c r="BQ26" s="34"/>
    </row>
    <row r="27" spans="1:69" ht="15.75" customHeight="1">
      <c r="A27" s="43">
        <v>22</v>
      </c>
      <c r="B27" s="45" t="s">
        <v>754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>
        <v>3</v>
      </c>
      <c r="AE27" s="41"/>
      <c r="AF27" s="41"/>
      <c r="AG27" s="41"/>
      <c r="AH27" s="41"/>
      <c r="AI27" s="41"/>
      <c r="AJ27" s="41"/>
      <c r="AK27" s="41"/>
      <c r="AL27" s="41"/>
      <c r="AM27" s="42">
        <v>3</v>
      </c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2">
        <v>3</v>
      </c>
      <c r="BL27" s="41">
        <f t="shared" si="0"/>
        <v>0</v>
      </c>
      <c r="BM27" s="41">
        <f t="shared" si="1"/>
        <v>0</v>
      </c>
      <c r="BN27" s="41">
        <f t="shared" si="2"/>
        <v>3</v>
      </c>
      <c r="BO27" s="41"/>
      <c r="BP27" s="34"/>
      <c r="BQ27" s="34"/>
    </row>
    <row r="28" spans="1:69" ht="15.75" customHeight="1">
      <c r="A28" s="43">
        <v>23</v>
      </c>
      <c r="B28" s="45" t="s">
        <v>90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2">
        <v>2</v>
      </c>
      <c r="AK28" s="42">
        <v>3</v>
      </c>
      <c r="AL28" s="42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>
        <f t="shared" si="0"/>
        <v>0</v>
      </c>
      <c r="BM28" s="41">
        <f t="shared" si="1"/>
        <v>1</v>
      </c>
      <c r="BN28" s="41">
        <f t="shared" si="2"/>
        <v>1</v>
      </c>
      <c r="BO28" s="41"/>
      <c r="BP28" s="34"/>
      <c r="BQ28" s="34"/>
    </row>
    <row r="29" spans="1:6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</row>
    <row r="30" spans="1:69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</row>
    <row r="31" spans="1:69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</row>
    <row r="32" spans="1:69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</row>
    <row r="33" spans="1:69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</row>
    <row r="34" spans="1:69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</row>
    <row r="35" spans="1:69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</row>
    <row r="36" spans="1:69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</row>
    <row r="37" spans="1:69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</row>
    <row r="38" spans="1:69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</row>
    <row r="39" spans="1:6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</row>
    <row r="40" spans="1:69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</row>
    <row r="41" spans="1:69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</row>
    <row r="42" spans="1:69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</row>
    <row r="43" spans="1:69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</row>
    <row r="44" spans="1:69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</row>
    <row r="45" spans="1:69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</row>
    <row r="46" spans="1:69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</row>
    <row r="47" spans="1:69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</row>
    <row r="48" spans="1:69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</row>
    <row r="49" spans="1:6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</row>
    <row r="50" spans="1:69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</row>
    <row r="51" spans="1:69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</row>
    <row r="52" spans="1:69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</row>
    <row r="53" spans="1:69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</row>
    <row r="54" spans="1:69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</row>
    <row r="55" spans="1:69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</row>
    <row r="56" spans="1:69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</row>
    <row r="57" spans="1:69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</row>
    <row r="58" spans="1:69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</row>
    <row r="59" spans="1:6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</row>
    <row r="60" spans="1:69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</row>
    <row r="61" spans="1:69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</row>
    <row r="62" spans="1:69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</row>
    <row r="63" spans="1:69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</row>
    <row r="64" spans="1:69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</row>
    <row r="65" spans="1:69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</row>
    <row r="66" spans="1:69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</row>
    <row r="67" spans="1:69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</row>
    <row r="68" spans="1:69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</row>
    <row r="69" spans="1: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</row>
    <row r="70" spans="1:69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</row>
    <row r="71" spans="1:69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</row>
    <row r="72" spans="1:69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</row>
    <row r="73" spans="1:69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</row>
    <row r="74" spans="1:69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</row>
    <row r="75" spans="1:69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</row>
    <row r="76" spans="1:69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</row>
    <row r="77" spans="1:69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</row>
    <row r="78" spans="1:69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</row>
    <row r="79" spans="1:6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</row>
    <row r="80" spans="1:69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</row>
    <row r="81" spans="1:69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</row>
    <row r="82" spans="1:69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</row>
    <row r="83" spans="1:69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</row>
    <row r="84" spans="1:69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</row>
    <row r="85" spans="1:69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</row>
    <row r="86" spans="1:69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</row>
    <row r="87" spans="1:69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</row>
    <row r="88" spans="1:69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</row>
    <row r="89" spans="1:6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</row>
    <row r="90" spans="1:69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</row>
    <row r="91" spans="1:69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</row>
    <row r="92" spans="1:69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</row>
    <row r="93" spans="1:69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</row>
    <row r="94" spans="1:69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</row>
    <row r="95" spans="1:69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</row>
    <row r="96" spans="1:69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</row>
    <row r="97" spans="1:69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</row>
    <row r="98" spans="1:69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</row>
    <row r="99" spans="1:6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</row>
    <row r="100" spans="1:69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</row>
    <row r="101" spans="1:69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</row>
    <row r="102" spans="1:69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</row>
    <row r="103" spans="1:69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</row>
    <row r="104" spans="1:69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</row>
    <row r="105" spans="1:69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</row>
    <row r="106" spans="1:69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</row>
    <row r="107" spans="1:69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</row>
    <row r="108" spans="1:69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</row>
    <row r="109" spans="1:6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</row>
    <row r="110" spans="1:69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</row>
    <row r="111" spans="1:69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</row>
    <row r="112" spans="1:69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</row>
    <row r="113" spans="1:69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</row>
    <row r="114" spans="1:69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</row>
    <row r="115" spans="1:69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</row>
    <row r="116" spans="1:69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</row>
    <row r="117" spans="1:69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</row>
    <row r="118" spans="1:69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</row>
    <row r="119" spans="1:6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</row>
    <row r="120" spans="1:69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</row>
    <row r="121" spans="1:69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</row>
    <row r="122" spans="1:69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</row>
    <row r="123" spans="1:69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</row>
    <row r="124" spans="1:69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</row>
    <row r="125" spans="1:69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</row>
    <row r="126" spans="1:69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</row>
    <row r="127" spans="1:69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</row>
    <row r="128" spans="1:69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</row>
    <row r="129" spans="1:6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</row>
    <row r="130" spans="1:69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</row>
    <row r="131" spans="1:69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</row>
    <row r="132" spans="1:69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</row>
    <row r="133" spans="1:69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</row>
    <row r="134" spans="1:69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</row>
    <row r="135" spans="1:69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</row>
    <row r="136" spans="1:69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</row>
    <row r="137" spans="1:69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</row>
    <row r="138" spans="1:69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</row>
    <row r="139" spans="1:6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</row>
    <row r="140" spans="1:69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</row>
    <row r="141" spans="1:69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</row>
    <row r="142" spans="1:69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</row>
    <row r="143" spans="1:69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</row>
    <row r="144" spans="1:69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</row>
    <row r="145" spans="1:69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</row>
    <row r="146" spans="1:69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</row>
    <row r="147" spans="1:69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</row>
    <row r="148" spans="1:69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</row>
    <row r="149" spans="1:6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</row>
    <row r="150" spans="1:69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</row>
    <row r="151" spans="1:69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</row>
    <row r="152" spans="1:69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</row>
    <row r="153" spans="1:69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</row>
    <row r="154" spans="1:69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</row>
    <row r="155" spans="1:69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</row>
    <row r="156" spans="1:69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</row>
    <row r="157" spans="1:69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</row>
    <row r="158" spans="1:69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</row>
    <row r="159" spans="1:6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</row>
    <row r="160" spans="1:69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</row>
    <row r="161" spans="1:69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</row>
    <row r="162" spans="1:69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</row>
    <row r="163" spans="1:69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</row>
    <row r="164" spans="1:69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</row>
    <row r="165" spans="1:69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</row>
    <row r="166" spans="1:69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</row>
    <row r="167" spans="1:69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</row>
    <row r="168" spans="1:69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</row>
    <row r="169" spans="1: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</row>
    <row r="170" spans="1:69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</row>
    <row r="171" spans="1:69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</row>
    <row r="172" spans="1:69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</row>
    <row r="173" spans="1:69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</row>
    <row r="174" spans="1:69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</row>
    <row r="175" spans="1:69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</row>
    <row r="176" spans="1:69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</row>
    <row r="177" spans="1:69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</row>
    <row r="178" spans="1:69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</row>
    <row r="179" spans="1:6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</row>
    <row r="180" spans="1:69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</row>
    <row r="181" spans="1:69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</row>
    <row r="182" spans="1:69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</row>
    <row r="183" spans="1:69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</row>
    <row r="184" spans="1:69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</row>
    <row r="185" spans="1:69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</row>
    <row r="186" spans="1:69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</row>
    <row r="187" spans="1:69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</row>
    <row r="188" spans="1:69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</row>
    <row r="189" spans="1:6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</row>
    <row r="190" spans="1:69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</row>
    <row r="191" spans="1:69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</row>
    <row r="192" spans="1:69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</row>
    <row r="193" spans="1:69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</row>
    <row r="194" spans="1:69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</row>
    <row r="195" spans="1:69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</row>
    <row r="196" spans="1:69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</row>
    <row r="197" spans="1:69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</row>
    <row r="198" spans="1:69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</row>
    <row r="199" spans="1:6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</row>
    <row r="200" spans="1:69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</row>
    <row r="201" spans="1:69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</row>
    <row r="202" spans="1:69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</row>
    <row r="203" spans="1:69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</row>
    <row r="204" spans="1:69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</row>
    <row r="205" spans="1:69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</row>
    <row r="206" spans="1:69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</row>
    <row r="207" spans="1:69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</row>
    <row r="208" spans="1:69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</row>
    <row r="209" spans="1:6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</row>
    <row r="210" spans="1:69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</row>
    <row r="211" spans="1:69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</row>
    <row r="212" spans="1:69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</row>
    <row r="213" spans="1:69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</row>
    <row r="214" spans="1:69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</row>
    <row r="215" spans="1:69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</row>
    <row r="216" spans="1:69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</row>
    <row r="217" spans="1:69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</row>
    <row r="218" spans="1:69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</row>
    <row r="219" spans="1:6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</row>
    <row r="220" spans="1:69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</row>
    <row r="221" spans="1:69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</row>
    <row r="222" spans="1:69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</row>
    <row r="223" spans="1:69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</row>
    <row r="224" spans="1:69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</row>
    <row r="225" spans="1:69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</row>
    <row r="226" spans="1:69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</row>
    <row r="227" spans="1:69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</row>
    <row r="228" spans="1:69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</row>
    <row r="229" spans="1:6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</row>
    <row r="230" spans="1:69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</row>
    <row r="231" spans="1:69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</row>
    <row r="232" spans="1:69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</row>
    <row r="233" spans="1:69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</row>
    <row r="234" spans="1:69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</row>
    <row r="235" spans="1:69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</row>
    <row r="236" spans="1:69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</row>
    <row r="237" spans="1:69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</row>
    <row r="238" spans="1:69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</row>
    <row r="239" spans="1:6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</row>
    <row r="240" spans="1:69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</row>
    <row r="241" spans="1:69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</row>
    <row r="242" spans="1:69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</row>
    <row r="243" spans="1:69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</row>
    <row r="244" spans="1:69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</row>
    <row r="245" spans="1:69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</row>
    <row r="246" spans="1:69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</row>
    <row r="247" spans="1:69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</row>
    <row r="248" spans="1:69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</row>
    <row r="249" spans="1:6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</row>
    <row r="250" spans="1:69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</row>
    <row r="251" spans="1:69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</row>
    <row r="252" spans="1:69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</row>
    <row r="253" spans="1:69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</row>
    <row r="254" spans="1:69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</row>
    <row r="255" spans="1:69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</row>
    <row r="256" spans="1:69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</row>
    <row r="257" spans="1:69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</row>
    <row r="258" spans="1:69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</row>
    <row r="259" spans="1:6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</row>
    <row r="260" spans="1:69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</row>
    <row r="261" spans="1:69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</row>
    <row r="262" spans="1:69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</row>
    <row r="263" spans="1:69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</row>
    <row r="264" spans="1:69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</row>
    <row r="265" spans="1:69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</row>
    <row r="266" spans="1:69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</row>
    <row r="267" spans="1:69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</row>
    <row r="268" spans="1:69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</row>
    <row r="269" spans="1: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</row>
    <row r="270" spans="1:69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</row>
    <row r="271" spans="1:69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</row>
    <row r="272" spans="1:69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</row>
    <row r="273" spans="1:69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</row>
    <row r="274" spans="1:69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</row>
    <row r="275" spans="1:69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</row>
    <row r="276" spans="1:69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</row>
    <row r="277" spans="1:69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</row>
    <row r="278" spans="1:69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</row>
    <row r="279" spans="1:6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</row>
    <row r="280" spans="1:69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</row>
    <row r="281" spans="1:69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</row>
    <row r="282" spans="1:69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</row>
    <row r="283" spans="1:69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</row>
    <row r="284" spans="1:69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</row>
    <row r="285" spans="1:69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</row>
    <row r="286" spans="1:69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</row>
    <row r="287" spans="1:69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</row>
    <row r="288" spans="1:69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</row>
    <row r="289" spans="1:6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</row>
    <row r="290" spans="1:69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</row>
    <row r="291" spans="1:69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</row>
    <row r="292" spans="1:69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</row>
    <row r="293" spans="1:69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</row>
    <row r="294" spans="1:69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</row>
    <row r="295" spans="1:69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</row>
    <row r="296" spans="1:69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</row>
    <row r="297" spans="1:69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</row>
    <row r="298" spans="1:69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</row>
    <row r="299" spans="1:6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</row>
    <row r="300" spans="1:69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</row>
    <row r="301" spans="1:69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</row>
    <row r="302" spans="1:69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</row>
    <row r="303" spans="1:69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</row>
    <row r="304" spans="1:69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</row>
    <row r="305" spans="1:69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</row>
    <row r="306" spans="1:69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</row>
    <row r="307" spans="1:69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</row>
    <row r="308" spans="1:69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</row>
    <row r="309" spans="1:6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</row>
    <row r="310" spans="1:69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</row>
    <row r="311" spans="1:69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</row>
    <row r="312" spans="1:69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</row>
    <row r="313" spans="1:69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</row>
    <row r="314" spans="1:69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</row>
    <row r="315" spans="1:69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</row>
    <row r="316" spans="1:69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</row>
    <row r="317" spans="1:69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</row>
    <row r="318" spans="1:69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</row>
    <row r="319" spans="1:6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</row>
    <row r="320" spans="1:69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</row>
    <row r="321" spans="1:69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</row>
    <row r="322" spans="1:69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</row>
    <row r="323" spans="1:69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</row>
    <row r="324" spans="1:69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</row>
    <row r="325" spans="1:69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</row>
    <row r="326" spans="1:69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</row>
    <row r="327" spans="1:69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</row>
    <row r="328" spans="1:69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</row>
    <row r="329" spans="1:6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</row>
    <row r="330" spans="1:69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</row>
    <row r="331" spans="1:69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</row>
    <row r="332" spans="1:69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</row>
    <row r="333" spans="1:69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</row>
    <row r="334" spans="1:69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</row>
    <row r="335" spans="1:69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</row>
    <row r="336" spans="1:69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</row>
    <row r="337" spans="1:69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</row>
    <row r="338" spans="1:69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</row>
    <row r="339" spans="1:6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</row>
    <row r="340" spans="1:69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</row>
    <row r="341" spans="1:69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</row>
    <row r="342" spans="1:69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</row>
    <row r="343" spans="1:69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</row>
    <row r="344" spans="1:69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</row>
    <row r="345" spans="1:69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</row>
    <row r="346" spans="1:69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</row>
    <row r="347" spans="1:69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</row>
    <row r="348" spans="1:69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</row>
    <row r="349" spans="1:6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</row>
    <row r="350" spans="1:69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</row>
    <row r="351" spans="1:69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</row>
    <row r="352" spans="1:69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</row>
    <row r="353" spans="1:69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</row>
    <row r="354" spans="1:69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</row>
    <row r="355" spans="1:69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</row>
    <row r="356" spans="1:69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</row>
    <row r="357" spans="1:69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</row>
    <row r="358" spans="1:69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</row>
    <row r="359" spans="1:6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</row>
    <row r="360" spans="1:69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</row>
    <row r="361" spans="1:69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</row>
    <row r="362" spans="1:69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</row>
    <row r="363" spans="1:69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</row>
    <row r="364" spans="1:69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</row>
    <row r="365" spans="1:69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</row>
    <row r="366" spans="1:69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</row>
    <row r="367" spans="1:69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</row>
    <row r="368" spans="1:69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</row>
    <row r="369" spans="1: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</row>
    <row r="370" spans="1:69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</row>
    <row r="371" spans="1:69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</row>
    <row r="372" spans="1:69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</row>
    <row r="373" spans="1:69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</row>
    <row r="374" spans="1:69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</row>
    <row r="375" spans="1:69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</row>
    <row r="376" spans="1:69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</row>
    <row r="377" spans="1:69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</row>
    <row r="378" spans="1:69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</row>
    <row r="379" spans="1:6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</row>
    <row r="380" spans="1:69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</row>
    <row r="381" spans="1:69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</row>
    <row r="382" spans="1:69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</row>
    <row r="383" spans="1:69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</row>
    <row r="384" spans="1:69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</row>
    <row r="385" spans="1:69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</row>
    <row r="386" spans="1:69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</row>
    <row r="387" spans="1:69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</row>
    <row r="388" spans="1:69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</row>
    <row r="389" spans="1:6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</row>
    <row r="390" spans="1:69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</row>
    <row r="391" spans="1:69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</row>
    <row r="392" spans="1:69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</row>
    <row r="393" spans="1:69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</row>
    <row r="394" spans="1:69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</row>
    <row r="395" spans="1:69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</row>
    <row r="396" spans="1:69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</row>
    <row r="397" spans="1:69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</row>
    <row r="398" spans="1:69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</row>
    <row r="399" spans="1:6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</row>
    <row r="400" spans="1:69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</row>
    <row r="401" spans="1:69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</row>
    <row r="402" spans="1:69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</row>
    <row r="403" spans="1:69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</row>
    <row r="404" spans="1:69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</row>
    <row r="405" spans="1:69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</row>
    <row r="406" spans="1:69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</row>
    <row r="407" spans="1:69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</row>
    <row r="408" spans="1:69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</row>
    <row r="409" spans="1:6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</row>
    <row r="410" spans="1:69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</row>
    <row r="411" spans="1:69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</row>
    <row r="412" spans="1:69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</row>
    <row r="413" spans="1:69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</row>
    <row r="414" spans="1:69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</row>
    <row r="415" spans="1:69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</row>
    <row r="416" spans="1:69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</row>
    <row r="417" spans="1:69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</row>
    <row r="418" spans="1:69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</row>
    <row r="419" spans="1:6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</row>
    <row r="420" spans="1:69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</row>
    <row r="421" spans="1:69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</row>
    <row r="422" spans="1:69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</row>
    <row r="423" spans="1:69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</row>
    <row r="424" spans="1:69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</row>
    <row r="425" spans="1:69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</row>
    <row r="426" spans="1:69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</row>
    <row r="427" spans="1:69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</row>
    <row r="428" spans="1:69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</row>
    <row r="429" spans="1:6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</row>
    <row r="430" spans="1:69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</row>
    <row r="431" spans="1:69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</row>
    <row r="432" spans="1:69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</row>
    <row r="433" spans="1:69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</row>
    <row r="434" spans="1:69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</row>
    <row r="435" spans="1:69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</row>
    <row r="436" spans="1:69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</row>
    <row r="437" spans="1:69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</row>
    <row r="438" spans="1:69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</row>
    <row r="439" spans="1:6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</row>
    <row r="440" spans="1:69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</row>
    <row r="441" spans="1:69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</row>
    <row r="442" spans="1:69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</row>
    <row r="443" spans="1:69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</row>
    <row r="444" spans="1:69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</row>
    <row r="445" spans="1:69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</row>
    <row r="446" spans="1:69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</row>
    <row r="447" spans="1:69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</row>
    <row r="448" spans="1:69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</row>
    <row r="449" spans="1:6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</row>
    <row r="450" spans="1:69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</row>
    <row r="451" spans="1:69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</row>
    <row r="452" spans="1:69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</row>
    <row r="453" spans="1:69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</row>
    <row r="454" spans="1:69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</row>
    <row r="455" spans="1:69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</row>
    <row r="456" spans="1:69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</row>
    <row r="457" spans="1:69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</row>
    <row r="458" spans="1:69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</row>
    <row r="459" spans="1:6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</row>
    <row r="460" spans="1:69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</row>
    <row r="461" spans="1:69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</row>
    <row r="462" spans="1:69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</row>
    <row r="463" spans="1:69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</row>
    <row r="464" spans="1:69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</row>
    <row r="465" spans="1:69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</row>
    <row r="466" spans="1:69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</row>
    <row r="467" spans="1:69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</row>
    <row r="468" spans="1:69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</row>
    <row r="469" spans="1: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</row>
    <row r="470" spans="1:69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</row>
    <row r="471" spans="1:69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</row>
    <row r="472" spans="1:69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</row>
    <row r="473" spans="1:69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</row>
    <row r="474" spans="1:69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</row>
    <row r="475" spans="1:69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</row>
    <row r="476" spans="1:69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</row>
    <row r="477" spans="1:69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</row>
    <row r="478" spans="1:69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</row>
    <row r="479" spans="1:6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</row>
    <row r="480" spans="1:69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</row>
    <row r="481" spans="1:69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</row>
    <row r="482" spans="1:69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</row>
    <row r="483" spans="1:69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</row>
    <row r="484" spans="1:69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</row>
    <row r="485" spans="1:69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</row>
    <row r="486" spans="1:69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</row>
    <row r="487" spans="1:69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</row>
    <row r="488" spans="1:69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</row>
    <row r="489" spans="1:6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</row>
    <row r="490" spans="1:69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</row>
    <row r="491" spans="1:69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</row>
    <row r="492" spans="1:69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</row>
    <row r="493" spans="1:69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</row>
    <row r="494" spans="1:69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</row>
    <row r="495" spans="1:69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</row>
    <row r="496" spans="1:69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</row>
    <row r="497" spans="1:69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</row>
    <row r="498" spans="1:69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</row>
    <row r="499" spans="1:6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</row>
    <row r="500" spans="1:69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</row>
    <row r="501" spans="1:69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</row>
    <row r="502" spans="1:69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</row>
    <row r="503" spans="1:69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</row>
    <row r="504" spans="1:69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</row>
    <row r="505" spans="1:69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</row>
    <row r="506" spans="1:69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</row>
    <row r="507" spans="1:69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</row>
    <row r="508" spans="1:69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</row>
    <row r="509" spans="1:6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</row>
    <row r="510" spans="1:69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</row>
    <row r="511" spans="1:69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</row>
    <row r="512" spans="1:69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</row>
    <row r="513" spans="1:69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</row>
    <row r="514" spans="1:69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</row>
    <row r="515" spans="1:69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</row>
    <row r="516" spans="1:69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</row>
    <row r="517" spans="1:69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</row>
    <row r="518" spans="1:69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</row>
    <row r="519" spans="1:6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</row>
    <row r="520" spans="1:69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</row>
    <row r="521" spans="1:69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</row>
    <row r="522" spans="1:69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</row>
    <row r="523" spans="1:69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</row>
    <row r="524" spans="1:69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</row>
    <row r="525" spans="1:69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</row>
    <row r="526" spans="1:69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</row>
    <row r="527" spans="1:69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</row>
    <row r="528" spans="1:69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</row>
    <row r="529" spans="1:6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</row>
    <row r="530" spans="1:69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</row>
    <row r="531" spans="1:69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</row>
    <row r="532" spans="1:69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</row>
    <row r="533" spans="1:69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</row>
    <row r="534" spans="1:69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</row>
    <row r="535" spans="1:69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</row>
    <row r="536" spans="1:69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</row>
    <row r="537" spans="1:69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</row>
    <row r="538" spans="1:69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</row>
    <row r="539" spans="1:6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</row>
    <row r="540" spans="1:69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</row>
    <row r="541" spans="1:69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</row>
    <row r="542" spans="1:69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</row>
    <row r="543" spans="1:69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</row>
    <row r="544" spans="1:69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</row>
    <row r="545" spans="1:69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</row>
    <row r="546" spans="1:69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</row>
    <row r="547" spans="1:69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</row>
    <row r="548" spans="1:69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</row>
    <row r="549" spans="1:6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</row>
    <row r="550" spans="1:69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</row>
    <row r="551" spans="1:69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</row>
    <row r="552" spans="1:69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</row>
    <row r="553" spans="1:69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</row>
    <row r="554" spans="1:69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</row>
    <row r="555" spans="1:69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</row>
    <row r="556" spans="1:69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</row>
    <row r="557" spans="1:69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</row>
    <row r="558" spans="1:69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</row>
    <row r="559" spans="1:6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</row>
    <row r="560" spans="1:69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</row>
    <row r="561" spans="1:69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</row>
    <row r="562" spans="1:69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</row>
    <row r="563" spans="1:69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</row>
    <row r="564" spans="1:69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</row>
    <row r="565" spans="1:69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</row>
    <row r="566" spans="1:69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</row>
    <row r="567" spans="1:69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</row>
    <row r="568" spans="1:69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</row>
    <row r="569" spans="1: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</row>
    <row r="570" spans="1:69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</row>
    <row r="571" spans="1:69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</row>
    <row r="572" spans="1:69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</row>
    <row r="573" spans="1:69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</row>
    <row r="574" spans="1:69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</row>
    <row r="575" spans="1:69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</row>
    <row r="576" spans="1:69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</row>
    <row r="577" spans="1:69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</row>
    <row r="578" spans="1:69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</row>
    <row r="579" spans="1:6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</row>
    <row r="580" spans="1:69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</row>
    <row r="581" spans="1:69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</row>
    <row r="582" spans="1:69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</row>
    <row r="583" spans="1:69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</row>
    <row r="584" spans="1:69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</row>
    <row r="585" spans="1:69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</row>
    <row r="586" spans="1:69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</row>
    <row r="587" spans="1:69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</row>
    <row r="588" spans="1:69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</row>
    <row r="589" spans="1:6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</row>
    <row r="590" spans="1:69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</row>
    <row r="591" spans="1:69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</row>
    <row r="592" spans="1:69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</row>
    <row r="593" spans="1:69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</row>
    <row r="594" spans="1:69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</row>
    <row r="595" spans="1:69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</row>
    <row r="596" spans="1:69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</row>
    <row r="597" spans="1:69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</row>
    <row r="598" spans="1:69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</row>
    <row r="599" spans="1:6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</row>
    <row r="600" spans="1:69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</row>
    <row r="601" spans="1:69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</row>
    <row r="602" spans="1:69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</row>
    <row r="603" spans="1:69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</row>
    <row r="604" spans="1:69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</row>
    <row r="605" spans="1:69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</row>
    <row r="606" spans="1:69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</row>
    <row r="607" spans="1:69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</row>
    <row r="608" spans="1:69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</row>
    <row r="609" spans="1:6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</row>
    <row r="610" spans="1:69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</row>
    <row r="611" spans="1:69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</row>
    <row r="612" spans="1:69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</row>
    <row r="613" spans="1:69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</row>
    <row r="614" spans="1:69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</row>
    <row r="615" spans="1:69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</row>
    <row r="616" spans="1:69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</row>
    <row r="617" spans="1:69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</row>
    <row r="618" spans="1:69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</row>
    <row r="619" spans="1:6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</row>
    <row r="620" spans="1:69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</row>
    <row r="621" spans="1:69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</row>
    <row r="622" spans="1:69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</row>
    <row r="623" spans="1:69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</row>
    <row r="624" spans="1:69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</row>
    <row r="625" spans="1:69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</row>
    <row r="626" spans="1:69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</row>
    <row r="627" spans="1:69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</row>
    <row r="628" spans="1:69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</row>
    <row r="629" spans="1:6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</row>
    <row r="630" spans="1:69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</row>
    <row r="631" spans="1:69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</row>
    <row r="632" spans="1:69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</row>
    <row r="633" spans="1:69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</row>
    <row r="634" spans="1:69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</row>
    <row r="635" spans="1:69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</row>
    <row r="636" spans="1:69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</row>
    <row r="637" spans="1:69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</row>
    <row r="638" spans="1:69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</row>
    <row r="639" spans="1:6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</row>
    <row r="640" spans="1:69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</row>
    <row r="641" spans="1:69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</row>
    <row r="642" spans="1:69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</row>
    <row r="643" spans="1:69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</row>
    <row r="644" spans="1:69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</row>
    <row r="645" spans="1:69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</row>
    <row r="646" spans="1:69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</row>
    <row r="647" spans="1:69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</row>
    <row r="648" spans="1:69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</row>
    <row r="649" spans="1:6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</row>
    <row r="650" spans="1:69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</row>
    <row r="651" spans="1:69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</row>
    <row r="652" spans="1:69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</row>
    <row r="653" spans="1:69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</row>
    <row r="654" spans="1:69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</row>
    <row r="655" spans="1:69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</row>
    <row r="656" spans="1:69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</row>
    <row r="657" spans="1:69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</row>
    <row r="658" spans="1:69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</row>
    <row r="659" spans="1:6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</row>
    <row r="660" spans="1:69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</row>
    <row r="661" spans="1:69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</row>
    <row r="662" spans="1:69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</row>
    <row r="663" spans="1:69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</row>
    <row r="664" spans="1:69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</row>
    <row r="665" spans="1:69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</row>
    <row r="666" spans="1:69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</row>
    <row r="667" spans="1:69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</row>
    <row r="668" spans="1:69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</row>
    <row r="669" spans="1: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</row>
    <row r="670" spans="1:69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</row>
    <row r="671" spans="1:69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</row>
    <row r="672" spans="1:69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</row>
    <row r="673" spans="1:69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</row>
    <row r="674" spans="1:69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</row>
    <row r="675" spans="1:69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</row>
    <row r="676" spans="1:69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</row>
    <row r="677" spans="1:69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</row>
    <row r="678" spans="1:69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</row>
    <row r="679" spans="1:6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</row>
    <row r="680" spans="1:69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</row>
    <row r="681" spans="1:69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</row>
    <row r="682" spans="1:69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</row>
    <row r="683" spans="1:69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</row>
    <row r="684" spans="1:69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</row>
    <row r="685" spans="1:69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</row>
    <row r="686" spans="1:69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</row>
    <row r="687" spans="1:69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</row>
    <row r="688" spans="1:69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</row>
    <row r="689" spans="1:6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</row>
    <row r="690" spans="1:69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</row>
    <row r="691" spans="1:69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</row>
    <row r="692" spans="1:69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</row>
    <row r="693" spans="1:69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</row>
    <row r="694" spans="1:69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</row>
    <row r="695" spans="1:69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</row>
    <row r="696" spans="1:69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</row>
    <row r="697" spans="1:69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</row>
    <row r="698" spans="1:69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</row>
    <row r="699" spans="1:6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</row>
    <row r="700" spans="1:69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</row>
    <row r="701" spans="1:69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</row>
    <row r="702" spans="1:69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</row>
    <row r="703" spans="1:69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</row>
    <row r="704" spans="1:69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</row>
    <row r="705" spans="1:69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</row>
    <row r="706" spans="1:69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</row>
    <row r="707" spans="1:69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</row>
    <row r="708" spans="1:69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</row>
    <row r="709" spans="1:6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</row>
    <row r="710" spans="1:69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</row>
    <row r="711" spans="1:69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</row>
    <row r="712" spans="1:69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</row>
    <row r="713" spans="1:69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</row>
    <row r="714" spans="1:69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</row>
    <row r="715" spans="1:69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</row>
    <row r="716" spans="1:69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</row>
    <row r="717" spans="1:69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</row>
    <row r="718" spans="1:69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</row>
    <row r="719" spans="1:6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</row>
    <row r="720" spans="1:69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</row>
    <row r="721" spans="1:69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</row>
    <row r="722" spans="1:69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</row>
    <row r="723" spans="1:69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</row>
    <row r="724" spans="1:69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</row>
    <row r="725" spans="1:69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</row>
    <row r="726" spans="1:69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</row>
    <row r="727" spans="1:69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</row>
    <row r="728" spans="1:69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</row>
    <row r="729" spans="1:6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</row>
    <row r="730" spans="1:69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</row>
    <row r="731" spans="1:69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</row>
    <row r="732" spans="1:69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</row>
    <row r="733" spans="1:69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</row>
    <row r="734" spans="1:69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</row>
    <row r="735" spans="1:69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</row>
    <row r="736" spans="1:69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</row>
    <row r="737" spans="1:69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</row>
    <row r="738" spans="1:69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</row>
    <row r="739" spans="1:6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</row>
    <row r="740" spans="1:69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</row>
    <row r="741" spans="1:69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</row>
    <row r="742" spans="1:69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</row>
    <row r="743" spans="1:69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</row>
    <row r="744" spans="1:69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</row>
    <row r="745" spans="1:69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</row>
    <row r="746" spans="1:69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</row>
    <row r="747" spans="1:69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</row>
    <row r="748" spans="1:69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</row>
    <row r="749" spans="1:6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</row>
    <row r="750" spans="1:69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</row>
    <row r="751" spans="1:69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</row>
    <row r="752" spans="1:69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</row>
    <row r="753" spans="1:69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</row>
    <row r="754" spans="1:69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</row>
    <row r="755" spans="1:69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</row>
    <row r="756" spans="1:69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</row>
    <row r="757" spans="1:69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</row>
    <row r="758" spans="1:69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</row>
    <row r="759" spans="1:6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</row>
    <row r="760" spans="1:69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</row>
    <row r="761" spans="1:69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</row>
    <row r="762" spans="1:69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</row>
    <row r="763" spans="1:69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</row>
    <row r="764" spans="1:69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</row>
    <row r="765" spans="1:69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</row>
    <row r="766" spans="1:69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</row>
    <row r="767" spans="1:69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</row>
    <row r="768" spans="1:69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</row>
    <row r="769" spans="1: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</row>
    <row r="770" spans="1:69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</row>
    <row r="771" spans="1:69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</row>
    <row r="772" spans="1:69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</row>
    <row r="773" spans="1:69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</row>
    <row r="774" spans="1:69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</row>
    <row r="775" spans="1:69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</row>
    <row r="776" spans="1:69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</row>
    <row r="777" spans="1:69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</row>
    <row r="778" spans="1:69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</row>
    <row r="779" spans="1:6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</row>
    <row r="780" spans="1:69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</row>
    <row r="781" spans="1:69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</row>
    <row r="782" spans="1:69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</row>
    <row r="783" spans="1:69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</row>
    <row r="784" spans="1:69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</row>
    <row r="785" spans="1:69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</row>
    <row r="786" spans="1:69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</row>
    <row r="787" spans="1:69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</row>
    <row r="788" spans="1:69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</row>
    <row r="789" spans="1:6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</row>
    <row r="790" spans="1:69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</row>
    <row r="791" spans="1:69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</row>
    <row r="792" spans="1:69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</row>
    <row r="793" spans="1:69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</row>
    <row r="794" spans="1:69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</row>
    <row r="795" spans="1:69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</row>
    <row r="796" spans="1:69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</row>
    <row r="797" spans="1:69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</row>
    <row r="798" spans="1:69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</row>
    <row r="799" spans="1:6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</row>
    <row r="800" spans="1:69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</row>
    <row r="801" spans="1:69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</row>
    <row r="802" spans="1:69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</row>
    <row r="803" spans="1:69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</row>
    <row r="804" spans="1:69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</row>
    <row r="805" spans="1:69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</row>
    <row r="806" spans="1:69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</row>
    <row r="807" spans="1:69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</row>
    <row r="808" spans="1:69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</row>
    <row r="809" spans="1:6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</row>
    <row r="810" spans="1:69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</row>
    <row r="811" spans="1:69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</row>
    <row r="812" spans="1:69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</row>
    <row r="813" spans="1:69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</row>
    <row r="814" spans="1:69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</row>
    <row r="815" spans="1:69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</row>
    <row r="816" spans="1:69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</row>
    <row r="817" spans="1:69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</row>
    <row r="818" spans="1:69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</row>
    <row r="819" spans="1:6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</row>
    <row r="820" spans="1:69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</row>
    <row r="821" spans="1:69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</row>
    <row r="822" spans="1:69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</row>
    <row r="823" spans="1:69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</row>
    <row r="824" spans="1:69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</row>
    <row r="825" spans="1:69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</row>
    <row r="826" spans="1:69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</row>
    <row r="827" spans="1:69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</row>
    <row r="828" spans="1:69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</row>
    <row r="829" spans="1:6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</row>
    <row r="830" spans="1:69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</row>
    <row r="831" spans="1:69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</row>
    <row r="832" spans="1:69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</row>
    <row r="833" spans="1:69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</row>
    <row r="834" spans="1:69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</row>
    <row r="835" spans="1:69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</row>
    <row r="836" spans="1:69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</row>
    <row r="837" spans="1:69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</row>
    <row r="838" spans="1:69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</row>
    <row r="839" spans="1:6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</row>
    <row r="840" spans="1:69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</row>
    <row r="841" spans="1:69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</row>
    <row r="842" spans="1:69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</row>
    <row r="843" spans="1:69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</row>
    <row r="844" spans="1:69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</row>
    <row r="845" spans="1:69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</row>
    <row r="846" spans="1:69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</row>
    <row r="847" spans="1:69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</row>
    <row r="848" spans="1:69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</row>
    <row r="849" spans="1:6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</row>
    <row r="850" spans="1:69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</row>
    <row r="851" spans="1:69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</row>
    <row r="852" spans="1:69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</row>
    <row r="853" spans="1:69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</row>
    <row r="854" spans="1:69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</row>
    <row r="855" spans="1:69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</row>
    <row r="856" spans="1:69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</row>
    <row r="857" spans="1:69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</row>
    <row r="858" spans="1:69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</row>
    <row r="859" spans="1:6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</row>
    <row r="860" spans="1:69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</row>
    <row r="861" spans="1:69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</row>
    <row r="862" spans="1:69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</row>
    <row r="863" spans="1:69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</row>
    <row r="864" spans="1:69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</row>
    <row r="865" spans="1:69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</row>
    <row r="866" spans="1:69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</row>
    <row r="867" spans="1:69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</row>
    <row r="868" spans="1:69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</row>
    <row r="869" spans="1: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</row>
    <row r="870" spans="1:69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</row>
    <row r="871" spans="1:69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</row>
    <row r="872" spans="1:69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</row>
    <row r="873" spans="1:69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</row>
    <row r="874" spans="1:69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</row>
    <row r="875" spans="1:69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</row>
    <row r="876" spans="1:69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</row>
    <row r="877" spans="1:69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</row>
    <row r="878" spans="1:69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</row>
    <row r="879" spans="1:6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</row>
    <row r="880" spans="1:69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</row>
    <row r="881" spans="1:69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</row>
    <row r="882" spans="1:69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</row>
    <row r="883" spans="1:69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</row>
    <row r="884" spans="1:69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</row>
    <row r="885" spans="1:69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</row>
    <row r="886" spans="1:69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</row>
    <row r="887" spans="1:69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</row>
    <row r="888" spans="1:69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</row>
    <row r="889" spans="1:6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</row>
    <row r="890" spans="1:69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</row>
    <row r="891" spans="1:69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</row>
    <row r="892" spans="1:69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</row>
    <row r="893" spans="1:69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</row>
    <row r="894" spans="1:69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</row>
    <row r="895" spans="1:69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</row>
    <row r="896" spans="1:69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</row>
    <row r="897" spans="1:69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</row>
    <row r="898" spans="1:69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</row>
    <row r="899" spans="1:6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</row>
    <row r="900" spans="1:69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</row>
    <row r="901" spans="1:69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</row>
    <row r="902" spans="1:69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</row>
    <row r="903" spans="1:69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</row>
    <row r="904" spans="1:69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</row>
    <row r="905" spans="1:69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</row>
    <row r="906" spans="1:69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</row>
    <row r="907" spans="1:69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</row>
    <row r="908" spans="1:69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</row>
    <row r="909" spans="1:6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</row>
    <row r="910" spans="1:69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</row>
    <row r="911" spans="1:69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</row>
    <row r="912" spans="1:69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</row>
    <row r="913" spans="1:69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</row>
    <row r="914" spans="1:69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</row>
    <row r="915" spans="1:69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</row>
    <row r="916" spans="1:69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</row>
    <row r="917" spans="1:69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</row>
    <row r="918" spans="1:69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</row>
    <row r="919" spans="1:6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</row>
    <row r="920" spans="1:69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</row>
    <row r="921" spans="1:69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</row>
    <row r="922" spans="1:69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</row>
    <row r="923" spans="1:69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</row>
    <row r="924" spans="1:69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</row>
    <row r="925" spans="1:69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</row>
    <row r="926" spans="1:69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</row>
    <row r="927" spans="1:69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</row>
    <row r="928" spans="1:69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</row>
    <row r="929" spans="1:6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</row>
    <row r="930" spans="1:69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</row>
    <row r="931" spans="1:69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</row>
    <row r="932" spans="1:69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</row>
    <row r="933" spans="1:69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</row>
    <row r="934" spans="1:69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</row>
    <row r="935" spans="1:69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</row>
    <row r="936" spans="1:69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</row>
    <row r="937" spans="1:69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</row>
    <row r="938" spans="1:69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</row>
    <row r="939" spans="1:6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</row>
    <row r="940" spans="1:69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</row>
    <row r="941" spans="1:69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</row>
    <row r="942" spans="1:69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</row>
    <row r="943" spans="1:69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</row>
    <row r="944" spans="1:69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</row>
    <row r="945" spans="1:69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</row>
    <row r="946" spans="1:69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</row>
    <row r="947" spans="1:69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</row>
    <row r="948" spans="1:69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</row>
    <row r="949" spans="1:6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</row>
    <row r="950" spans="1:69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</row>
    <row r="951" spans="1:69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</row>
    <row r="952" spans="1:69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</row>
    <row r="953" spans="1:69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</row>
    <row r="954" spans="1:69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</row>
    <row r="955" spans="1:69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</row>
    <row r="956" spans="1:69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</row>
    <row r="957" spans="1:69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</row>
    <row r="958" spans="1:69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</row>
    <row r="959" spans="1:6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</row>
    <row r="960" spans="1:69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</row>
    <row r="961" spans="1:69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</row>
    <row r="962" spans="1:69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</row>
    <row r="963" spans="1:69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</row>
    <row r="964" spans="1:69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</row>
    <row r="965" spans="1:69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</row>
    <row r="966" spans="1:69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</row>
    <row r="967" spans="1:69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</row>
    <row r="968" spans="1:69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</row>
    <row r="969" spans="1: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</row>
    <row r="970" spans="1:69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</row>
    <row r="971" spans="1:69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</row>
    <row r="972" spans="1:69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</row>
    <row r="973" spans="1:69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</row>
    <row r="974" spans="1:69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</row>
    <row r="975" spans="1:69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</row>
    <row r="976" spans="1:69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</row>
    <row r="977" spans="1:69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</row>
    <row r="978" spans="1:69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</row>
    <row r="979" spans="1:6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</row>
    <row r="980" spans="1:69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</row>
    <row r="981" spans="1:69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</row>
    <row r="982" spans="1:69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</row>
    <row r="983" spans="1:69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</row>
    <row r="984" spans="1:69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</row>
    <row r="985" spans="1:69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</row>
    <row r="986" spans="1:69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</row>
    <row r="987" spans="1:69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</row>
    <row r="988" spans="1:69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</row>
    <row r="989" spans="1:6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</row>
    <row r="990" spans="1:69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</row>
    <row r="991" spans="1:69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</row>
    <row r="992" spans="1:69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</row>
    <row r="993" spans="1:69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</row>
    <row r="994" spans="1:69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</row>
    <row r="995" spans="1:69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</row>
    <row r="996" spans="1:69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</row>
    <row r="997" spans="1:69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</row>
    <row r="998" spans="1:69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</row>
    <row r="999" spans="1:6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</row>
    <row r="1000" spans="1:69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</row>
  </sheetData>
  <mergeCells count="23">
    <mergeCell ref="T3:AE3"/>
    <mergeCell ref="AF3:AT3"/>
    <mergeCell ref="J4:N4"/>
    <mergeCell ref="O4:S4"/>
    <mergeCell ref="C2:S2"/>
    <mergeCell ref="C3:I3"/>
    <mergeCell ref="J3:S3"/>
    <mergeCell ref="BO2:BO5"/>
    <mergeCell ref="AU3:BK3"/>
    <mergeCell ref="BD4:BK4"/>
    <mergeCell ref="A2:A5"/>
    <mergeCell ref="T2:BK2"/>
    <mergeCell ref="BL2:BL5"/>
    <mergeCell ref="BM2:BM5"/>
    <mergeCell ref="BN2:BN5"/>
    <mergeCell ref="T4:Y4"/>
    <mergeCell ref="Z4:AE4"/>
    <mergeCell ref="AF4:AM4"/>
    <mergeCell ref="AN4:AT4"/>
    <mergeCell ref="AU4:BC4"/>
    <mergeCell ref="B2:B5"/>
    <mergeCell ref="C4:E4"/>
    <mergeCell ref="F4:I4"/>
  </mergeCells>
  <conditionalFormatting sqref="C6:BK28">
    <cfRule type="cellIs" dxfId="6" priority="4" operator="equal">
      <formula>2</formula>
    </cfRule>
    <cfRule type="cellIs" dxfId="5" priority="5" operator="equal">
      <formula>1</formula>
    </cfRule>
  </conditionalFormatting>
  <conditionalFormatting sqref="C6:BK28">
    <cfRule type="cellIs" dxfId="4" priority="6" operator="equal">
      <formula>3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Lịch thi đấu N1</vt:lpstr>
      <vt:lpstr>Lịch thi đấu N2</vt:lpstr>
      <vt:lpstr>Lịch thi đấu VĐ</vt:lpstr>
      <vt:lpstr>Quyền trẻ</vt:lpstr>
      <vt:lpstr>Quyền vô địch</vt:lpstr>
      <vt:lpstr>Xếp hạng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Thuy Ngan</cp:lastModifiedBy>
  <dcterms:modified xsi:type="dcterms:W3CDTF">2024-11-02T16:24:49Z</dcterms:modified>
</cp:coreProperties>
</file>